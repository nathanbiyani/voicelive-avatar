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microsoft-my.sharepoint.com/personal/nathanbiyani_microsoft_com/Documents/Documents/GEHC/"/>
    </mc:Choice>
  </mc:AlternateContent>
  <xr:revisionPtr revIDLastSave="0" documentId="8_{C3B3864B-0FAB-42F5-ACE6-21BC94D5D90C}" xr6:coauthVersionLast="47" xr6:coauthVersionMax="47" xr10:uidLastSave="{00000000-0000-0000-0000-000000000000}"/>
  <bookViews>
    <workbookView xWindow="-110" yWindow="-110" windowWidth="23260" windowHeight="14860" xr2:uid="{00000000-000D-0000-FFFF-FFFF00000000}"/>
  </bookViews>
  <sheets>
    <sheet name="Avatar_Evaluation Criteria" sheetId="1" r:id="rId1"/>
    <sheet name="Cost-Calculator" sheetId="2" r:id="rId2"/>
    <sheet name="Diagram" sheetId="3" r:id="rId3"/>
  </sheets>
  <definedNames>
    <definedName name="_xlnm._FilterDatabase" localSheetId="0" hidden="1">'Avatar_Evaluation Criteria'!$B$4:$N$63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1" i="1" l="1"/>
  <c r="I61" i="1"/>
  <c r="G61" i="1"/>
  <c r="E61" i="1"/>
  <c r="K56" i="1"/>
  <c r="I56" i="1"/>
  <c r="G56" i="1"/>
  <c r="E56" i="1"/>
  <c r="K48" i="1"/>
  <c r="I48" i="1"/>
  <c r="G48" i="1"/>
  <c r="E48" i="1"/>
  <c r="K14" i="1"/>
  <c r="I14" i="1"/>
  <c r="G14" i="1"/>
  <c r="E14" i="1"/>
  <c r="K6" i="1"/>
  <c r="I6" i="1"/>
  <c r="G6" i="1"/>
  <c r="E6" i="1"/>
</calcChain>
</file>

<file path=xl/sharedStrings.xml><?xml version="1.0" encoding="utf-8"?>
<sst xmlns="http://schemas.openxmlformats.org/spreadsheetml/2006/main" count="513" uniqueCount="352">
  <si>
    <t>Need: At a high-level, the vendor should be able to provide a customized and branded Avatar including: photorealist/cartoon, age, gender, ethnicity, emotion/hand gestures.</t>
  </si>
  <si>
    <t>GEHC will  control the conversation (through LLM/ Langraph AI) and leverage the Avatar to communicate with the patient. It's more of a "talking head" where we control what it says. Some Avatar products technologies include AI (for example emotion) in how the message is delivered but for us that would be similar to ChatGPT functionality to change the "tone" of our communication.</t>
  </si>
  <si>
    <t>CATEGORY</t>
  </si>
  <si>
    <t>EVALUATION CRITERIA</t>
  </si>
  <si>
    <t xml:space="preserve">PRSONAS </t>
  </si>
  <si>
    <t xml:space="preserve">MISCROSOFT </t>
  </si>
  <si>
    <t xml:space="preserve">AWS </t>
  </si>
  <si>
    <t>Vendor #4</t>
  </si>
  <si>
    <t>PRIORITY</t>
  </si>
  <si>
    <t>Comments Marwan</t>
  </si>
  <si>
    <t>Marwan Responses</t>
  </si>
  <si>
    <t>Microsoft Solution Fit Comments</t>
  </si>
  <si>
    <t>AVATAR QUALITY</t>
  </si>
  <si>
    <t>Avatar Quality</t>
  </si>
  <si>
    <t>Real-time Animation</t>
  </si>
  <si>
    <t>H</t>
  </si>
  <si>
    <t>Azure AI Speech Avatar provides real-time photorealistic and custom avatars with smooth, low-latency animation rendering via WebRTC. Supports both pre-built avatar library and fully custom avatar creation.</t>
  </si>
  <si>
    <t>Lip-Sync</t>
  </si>
  <si>
    <t>Built-in viseme-based lip synchronization tightly aligned with Azure Neural TTS output. Supports 15 viseme blend shapes for natural mouth movement.</t>
  </si>
  <si>
    <t>Gaze</t>
  </si>
  <si>
    <t>Avatar supports gaze direction control and camera-aware eye tracking. Configurable via SSML and API parameters.</t>
  </si>
  <si>
    <t>Emotional expressivity</t>
  </si>
  <si>
    <t>Azure Neural TTS supports expressive speaking styles (cheerful, empathetic, calm, sad, angry, etc.) controllable via SSML style tags. Custom Neural Voice enables fine-tuned emotional expression.</t>
  </si>
  <si>
    <t>Empathy &amp; Warm</t>
  </si>
  <si>
    <t>Warm and empathetic tone achievable through Azure TTS style='empathetic' and role-play features. Custom Neural Voice can be trained on warm, patient-facing personas.</t>
  </si>
  <si>
    <t>User Experience</t>
  </si>
  <si>
    <t>Web-based rendering via WebRTC; embeddable in any web app, kiosk, or mobile UI. Azure AI Foundry provides orchestration layer for conversational UX.</t>
  </si>
  <si>
    <t xml:space="preserve">Evidence that Avatar builds trust in real world. </t>
  </si>
  <si>
    <t>This will be hard to quantify. I think we need to break it down into Avatar qualities that build trust.</t>
  </si>
  <si>
    <t xml:space="preserve">Change to: Evidence that Avatar builds trust in real world. </t>
  </si>
  <si>
    <t>Microsoft Research has published studies on digital human trust. Azure Avatar is deployed in healthcare, retail, and financial services settings with positive patient/customer engagement data.</t>
  </si>
  <si>
    <t>LANGUAGE SUPPORT</t>
  </si>
  <si>
    <t>Language Support</t>
  </si>
  <si>
    <t>ASR &amp; TTS Robustness</t>
  </si>
  <si>
    <t>Azure Speech supports 100+ languages/locales for both STT (Speech-to-Text) and Neural TTS. Industry-leading word error rates on medical and conversational speech benchmarks.</t>
  </si>
  <si>
    <t>Support Multi-Languages, Dialects</t>
  </si>
  <si>
    <t>English and Spanish were high. We should get prioritized list from Product Management and list top languages</t>
  </si>
  <si>
    <t>ok</t>
  </si>
  <si>
    <t>Daniel: English, Spanish (43M), Chinese (3.5M)
Followed by Tagalog, Vietnamese, Arabic, French, Korean</t>
  </si>
  <si>
    <t>Full support for English, Spanish, Chinese (Mandarin/Cantonese), Tagalog, Vietnamese, Arabic, French, Korean and 90+ additional languages. Auto language detection and code-switching available.</t>
  </si>
  <si>
    <t>Complex Names</t>
  </si>
  <si>
    <t>Custom pronunciation lexicons and SSML &lt;phoneme&gt; tags enable precise handling of complex patient names across all supported languages.</t>
  </si>
  <si>
    <t>Complex Accents</t>
  </si>
  <si>
    <t>Custom Speech model training available for accent adaptation. Wide dialect coverage in ASR including regional U.S. English, Latin American Spanish, and more.</t>
  </si>
  <si>
    <t>Medical Terminology Packs</t>
  </si>
  <si>
    <t>L</t>
  </si>
  <si>
    <t>Since we're communicating with normal patients would we not want to focus on simple language not medically complex terms? Are you thinking about understanding a patient if they start using medical jargon? We should understand from Product Management who the Avatar will speak with and what level of medical language needs to be used.</t>
  </si>
  <si>
    <t>Changed this piority to low</t>
  </si>
  <si>
    <t>Custom Speech models can be trained on medical domain vocabulary. Azure Health Bot and Azure AI Language provide medical NLU. UMLS/SNOMED integration possible via custom dictionaries.</t>
  </si>
  <si>
    <t>ACCESIIBILITY</t>
  </si>
  <si>
    <t>Accessibility</t>
  </si>
  <si>
    <t>Americal Sign Language (ASL) support</t>
  </si>
  <si>
    <t>Check with Product Management. Don't think this will be in first release. Technologists are not necessarily trained in sign language.</t>
  </si>
  <si>
    <t>Native ASL avatar gestures not currently supported. Potential roadmap item. Workaround: real-time captioning and visual text overlay via Azure Speech SDK.</t>
  </si>
  <si>
    <t>ADA &amp; WCAG 2.2 compliance</t>
  </si>
  <si>
    <t>Seek clarity from Product Management if this is a need and the priority.</t>
  </si>
  <si>
    <t>Daniel: This is in the roadmap but not initial release. ASL dependent people in the US is about 1M people, or roughly the 10th most popular language. Much of this persona group can be covered by captions on the screen</t>
  </si>
  <si>
    <t>Azure services follow Microsoft Accessibility Standards and are designed to support WCAG 2.2 AA compliance in customer applications. Accessibility Insights tooling available for testing.</t>
  </si>
  <si>
    <t>INTEGRATIONS</t>
  </si>
  <si>
    <t>Integrations</t>
  </si>
  <si>
    <t>Effort to Integrate, with smooth and relatively streamlined process</t>
  </si>
  <si>
    <t>REST APIs, SDKs for .NET, Python, JavaScript, Java, C++. WebSocket streaming support. Azure AI Foundry for orchestration. Quickstart guides and sample code available. Typical integration in days to weeks.</t>
  </si>
  <si>
    <t>Customizability</t>
  </si>
  <si>
    <t>Highly customizable: custom avatar appearance, custom neural voices, custom speech models, full SSML control, API-driven animation parameters, and branding support.</t>
  </si>
  <si>
    <t>Setup and Configuration of Avatar and Integration</t>
  </si>
  <si>
    <t>Is this covered in Effort to integrate?</t>
  </si>
  <si>
    <t>There are many ways (how) to interface, API being one of them. Suggest focusing on "effort to integrate above". This one could capture mechanism to integrate with and configure Avatar.</t>
  </si>
  <si>
    <t>Azure Portal-based provisioning with ARM/Bicep templates. SDK quickstart guides. CI/CD pipeline support via Azure DevOps or GitHub Actions.</t>
  </si>
  <si>
    <t>Azure AI Vision and Video Indexer can process camera feeds for face detection, person presence, gaze tracking, and engagement analytics. Integration via REST API.</t>
  </si>
  <si>
    <t>DEPLOYMENT</t>
  </si>
  <si>
    <t>Deployment</t>
  </si>
  <si>
    <t>Cloud Instance</t>
  </si>
  <si>
    <t>Confirm with Product Management</t>
  </si>
  <si>
    <t>Available in 7+ Azure regions (East US, West US 2, West Europe, Southeast Asia, etc.). Standard Azure cloud deployment with geo-redundancy options.</t>
  </si>
  <si>
    <t>GPU Reqs and Specs for avatar to run on Edge (On-Prem):
Supported GPU architecture, models, Performance requirements, recommended Scaling (increase number (horz) vs increase size (vertical)), Form factor (server rack reqs)</t>
  </si>
  <si>
    <t>Need to understand landscape of GPU availaibility on prem</t>
  </si>
  <si>
    <t>Its not just number of GPUs but "GPU's Required (model, number etc)</t>
  </si>
  <si>
    <t>Azure Local supports NVIDIA A2, A16, T4, A100 GPUs. STT/TTS containers deployable on-prem via Azure AI containers. Avatar rendering currently cloud-only — hybrid architecture recommended (see Azure Local latency analysis).</t>
  </si>
  <si>
    <t>Cost of Hardware</t>
  </si>
  <si>
    <t>Maybe change to cost of hardware?</t>
  </si>
  <si>
    <t>Azure Local validated nodes from Dell, HPE, Lenovo. GPU add-on pricing varies by model. Azure consumption pricing for cloud services. Detailed TCO calculator available.</t>
  </si>
  <si>
    <t>HA &amp; Fail-over for Edge</t>
  </si>
  <si>
    <t>high for cloud</t>
  </si>
  <si>
    <t>thanks</t>
  </si>
  <si>
    <t>Azure Speech services carry 99.9%+ SLA. Azure Local supports failover clustering with Storage Spaces Direct. Azure Front Door provides global load balancing for cloud endpoints.</t>
  </si>
  <si>
    <t>PERFORMANCE</t>
  </si>
  <si>
    <t>Performance</t>
  </si>
  <si>
    <t>Latency On-Prem (ASR--&gt;LLM--&gt;TTS): 500ms</t>
  </si>
  <si>
    <t>Need to split into Cloud and on prem (Edge) and set default bandwidth. Need to get minimal bandwidth and latency spec for cloud from Product Management</t>
  </si>
  <si>
    <t>Daniel: Optimal latency from the end of the user speaking to the beginning of a response is 500ms. Up to 1000ms can be acceptable but conversation may start to feel stilted  </t>
  </si>
  <si>
    <t>STT/TTS containers on Azure Local can achieve &lt;200ms speech processing latency. LLM latency depends on model and deployment. Hybrid architecture: STT/TTS on-prem + Voice Live API for avatar rendering targets sub-second end-to-end.</t>
  </si>
  <si>
    <t>Latency for Cloud: 500ms</t>
  </si>
  <si>
    <t>Azure Voice Live API targets sub-second end-to-end latency (speech-in to avatar-response). Region proximity is critical. ExpressRoute recommended for deterministic network performance.</t>
  </si>
  <si>
    <t xml:space="preserve">Performance amidst background noise and how it impacts the signal speech-to-text </t>
  </si>
  <si>
    <t>Azure Speech SDK includes built-in noise suppression and audio enhancement. Custom noise models trainable for specific environments (e.g., X-ray room ambient noise).</t>
  </si>
  <si>
    <t>PRIVACY &amp; SECURITY</t>
  </si>
  <si>
    <t>Privacy &amp; Security</t>
  </si>
  <si>
    <t>Secure Data Handling (1) at Rest and (2) in Transit (on-prem, and between on-prem and cloud)</t>
  </si>
  <si>
    <t>Should we say secure handling?</t>
  </si>
  <si>
    <t>There is overlap between this and row 51. Row 51 is the "how" for data security at rest and in transit. I think that we should keep this row and call it "Secure Data Handling: 1) at rest' and' 2) in transit (on prem or between on prem and cloud)</t>
  </si>
  <si>
    <t>Azure provides AES-256 encryption at rest, TLS 1.2+ in transit. Azure Local keeps data on-premises with BitLocker encryption. Customer-managed keys (CMK) supported for both cloud and edge.</t>
  </si>
  <si>
    <t>Data Retention Policy</t>
  </si>
  <si>
    <t>Same as above</t>
  </si>
  <si>
    <t>Configurable data retention policies via Azure data lifecycle management. Customer has full control over data retention periods. No patient data retained by default after processing.</t>
  </si>
  <si>
    <t xml:space="preserve">Audit Logging and Monitoring </t>
  </si>
  <si>
    <t>Azure Monitor, Log Analytics, Microsoft Defender for Cloud, and Microsoft Sentinel provide comprehensive audit logging, monitoring, and threat detection.</t>
  </si>
  <si>
    <t>Log Retention duration</t>
  </si>
  <si>
    <t>Configurable log retention from 30 days to 2+ years via Azure Monitor and Log Analytics. Long-term archival via Azure Storage with immutable blob support.</t>
  </si>
  <si>
    <t>Data Encryption at rest and in transit</t>
  </si>
  <si>
    <t>H?</t>
  </si>
  <si>
    <t>This would apply if data was stored. Does it include data that is in transit to cloud?</t>
  </si>
  <si>
    <t>I would separate it into: Data Encryption 1) at rest; 2) in transit (including cloud)</t>
  </si>
  <si>
    <t>AES-256 at rest, TLS 1.2+ in transit (including all cloud communication). Customer-managed keys (CMK) supported. Azure Local supports BitLocker for on-prem data-at-rest encryption.</t>
  </si>
  <si>
    <t>Compliance to GDPR</t>
  </si>
  <si>
    <t>?</t>
  </si>
  <si>
    <t>Need confirmation from Product Management whether Europe is a high priority</t>
  </si>
  <si>
    <t>Note GDPR will impose many product requirements.</t>
  </si>
  <si>
    <t>Daniel: GDPR will be important as we expand to Europe. Please include this</t>
  </si>
  <si>
    <t>Microsoft is fully GDPR compliant. Azure Data Processing Addendum (DPA) covers EU data processing. EU Data Boundary option available for data residency requirements.</t>
  </si>
  <si>
    <t>Will any of our data — including audio, video, text transcripts, logs, or metadata — be used to train, fine‑tune, or improve any of your AI models? Will they be anonymized? Can you disclose all 3rd‑party components or cloud services that you use to process the data</t>
  </si>
  <si>
    <t>Does this refer to use of our data for Avatar vendor model training?</t>
  </si>
  <si>
    <t>Microsoft does NOT use customer data to train or improve AI models (opt-out by default). Full transparency on subprocessors via Microsoft Trust Center. Third-party components documented in service documentation.</t>
  </si>
  <si>
    <t>REGULATORY COMPLIANCE</t>
  </si>
  <si>
    <t>Regulatory Compliance</t>
  </si>
  <si>
    <t>Did Vendor follow FDA cybersecurity guidelines? 
FDA’s 2025 Cybersecurity Guidance (Secure Product Development Framework (SPDF), Secure Software Development Framework (SSDF v1.1), threat modeling, SBOM for cyber software, vulnerability handling, labeling)</t>
  </si>
  <si>
    <t>Need to first determine whether this will be a medical device component in our system. If it's in the exam room might be more difficult to keep outside of medical device.</t>
  </si>
  <si>
    <t>agreed</t>
  </si>
  <si>
    <t>Microsoft publishes Software Bill of Materials (SBOM), follows NIST SSDF. Azure holds SOC 1/2/3, ISO 27001, HITRUST CSF, FedRAMP certifications. Healthcare-specific compliance documentation available via Microsoft Trust Center.</t>
  </si>
  <si>
    <t xml:space="preserve">Did vendor follow FDA AI development Guidelines?
FDA Good Machine Learning Practice (GMLP) — 10 Guiding Principles (2021)&amp; AI RMF </t>
  </si>
  <si>
    <t>Please clarify. Is this a question on whether FDA AI guidelines were followed for Avatar development?</t>
  </si>
  <si>
    <t>Thanks. Maybe add. If so list which ones.</t>
  </si>
  <si>
    <t>Azure AI services documentation includes Responsible AI practices aligned with GMLP principles. Microsoft Responsible AI Standard covers fairness, reliability, safety, transparency. AI impact assessments available.</t>
  </si>
  <si>
    <t>OPERATIONS &amp; SUPPORT</t>
  </si>
  <si>
    <t>Operations &amp; Support</t>
  </si>
  <si>
    <t>Implementation resources</t>
  </si>
  <si>
    <t>Microsoft FastTrack for Azure, dedicated Customer Success Account Manager (CSAM), technical account management. Microsoft partner ecosystem (e.g., Accenture, Avanade) for implementation. Healthcare-specific consulting resources.</t>
  </si>
  <si>
    <t>Published SLOs and SLAs</t>
  </si>
  <si>
    <t>Are you referring to "Service Level Agreement"?</t>
  </si>
  <si>
    <t>got it</t>
  </si>
  <si>
    <t>Published SLAs: Azure Speech Services 99.9%, Azure AI Services 99.9%. Enterprise Support agreements with defined response times. Premier/Unified support available.</t>
  </si>
  <si>
    <t>Analytics and Dashboards (for feedback and roadmap)</t>
  </si>
  <si>
    <t>M</t>
  </si>
  <si>
    <t>Azure Monitor, Application Insights, and Power BI provide real-time usage analytics, dashboards, and feedback loops. Custom telemetry for avatar engagement metrics.</t>
  </si>
  <si>
    <t>Vulnerability handling</t>
  </si>
  <si>
    <t>Microsoft Security Response Center (MSRC) handles vulnerability disclosure and remediation. Regular penetration testing. Bug bounty program for Azure services.</t>
  </si>
  <si>
    <t>Patching cadence</t>
  </si>
  <si>
    <t>Monthly security patches (Patch Tuesday). Critical/zero-day patches within 24-72 hours. Azure Local supports rolling updates with no downtime.</t>
  </si>
  <si>
    <t>Upgrades &amp; Updates (LCM Cloud)</t>
  </si>
  <si>
    <t>Continuous updates to Azure Speech services with backward-compatible API versioning. Preview/GA release model. No downtime for cloud service updates.</t>
  </si>
  <si>
    <t>Upgrades &amp; Updates (LCM On-prem)</t>
  </si>
  <si>
    <t>Azure Local lifecycle management with Azure Update Manager. Container updates via Azure Connected Registry. Scheduled maintenance windows for on-prem updates.</t>
  </si>
  <si>
    <t>TOTAL COST OF OWNERSHIP (TCO)</t>
  </si>
  <si>
    <t>Total Cost of Ownership (TCO)</t>
  </si>
  <si>
    <t>License</t>
  </si>
  <si>
    <t>Azure consumption-based pricing (pay-as-you-go). No upfront license fees for Speech services. Enterprise Agreement discounts available. Reserved Instance pricing for predictable workloads.</t>
  </si>
  <si>
    <t>Usage</t>
  </si>
  <si>
    <t>Pay-per-use: Neural TTS ~$16/1M characters, STT ~$1/audio hour, Avatar rendering per-minute pricing. Volume discounts at scale. Detailed cost calculator provided.</t>
  </si>
  <si>
    <t>Pilot Terms</t>
  </si>
  <si>
    <t>Azure free tier includes Speech services credits. POC/pilot funding programs available through Microsoft account team. Flexible pilot terms negotiable under Enterprise Agreement.</t>
  </si>
  <si>
    <t>Scaling Framework</t>
  </si>
  <si>
    <t>Horizontal auto-scaling via Azure for cloud workloads. Azure Local scales with additional validated nodes. Multi-region deployment for global expansion. Tiered architecture supports incremental scaling.</t>
  </si>
  <si>
    <t>EVIDENCE &amp; REFFERENCES</t>
  </si>
  <si>
    <t>Evidence &amp; References</t>
  </si>
  <si>
    <t>Healthcare settings</t>
  </si>
  <si>
    <t>Performance Data</t>
  </si>
  <si>
    <t>Azure Speech benchmark data published. Voice Live API latency benchmarks available. Customer case studies with performance data shareable under NDA.</t>
  </si>
  <si>
    <t>Parameter</t>
  </si>
  <si>
    <t>Value</t>
  </si>
  <si>
    <t>Unit</t>
  </si>
  <si>
    <t>Notes</t>
  </si>
  <si>
    <t>Input from</t>
  </si>
  <si>
    <t>Studies per month</t>
  </si>
  <si>
    <t>studies</t>
  </si>
  <si>
    <t>Total X-ray exams processed per month (input from site, site-specific)</t>
  </si>
  <si>
    <t>Hospital Site</t>
  </si>
  <si>
    <t>Avg minutes of avatar interaction per study</t>
  </si>
  <si>
    <t>minutes</t>
  </si>
  <si>
    <t>Overall Avatar and human interaction time - GEHC need to establish</t>
  </si>
  <si>
    <t>GEHC + Avatar Vendor</t>
  </si>
  <si>
    <t>Avg compute hours per study</t>
  </si>
  <si>
    <t>GPU/CPU compute time per study</t>
  </si>
  <si>
    <t>Avatar Vendor</t>
  </si>
  <si>
    <t>LLM tokens per study</t>
  </si>
  <si>
    <t>tokens</t>
  </si>
  <si>
    <t>Tokens for Speech to text and Text to speech and concersation</t>
  </si>
  <si>
    <t>Contract term (years)</t>
  </si>
  <si>
    <t>years</t>
  </si>
  <si>
    <t>minimum contract term with possible locked in rate</t>
  </si>
  <si>
    <t>Tier-1</t>
  </si>
  <si>
    <t>tier-2</t>
  </si>
  <si>
    <t>Tier-3</t>
  </si>
  <si>
    <t>Enterprise</t>
  </si>
  <si>
    <t>Setup fee ($ one-time)</t>
  </si>
  <si>
    <t>Monthly subscription or license ($/mo)</t>
  </si>
  <si>
    <t>Compute ($/GPU-hr)</t>
  </si>
  <si>
    <t>LLM ($/tokens)</t>
  </si>
  <si>
    <t>Avatar rendering ($/min)</t>
  </si>
  <si>
    <t>MAI Voice enables emotion and style control  https://learn.microsoft.com/en-us/azure/ai-services/speech-service/mai-voices</t>
  </si>
  <si>
    <t xml:space="preserve">
</t>
  </si>
  <si>
    <t>Yes:  https://learn.microsoft.com/en-us/azure/ai-services/speech-service/how-to-speech-synthesis-viseme?tabs=visemeid&amp;pivots=programming-language-python</t>
  </si>
  <si>
    <t>Ability to integrate with video camera. What type of information does it provide? Example who it talks to (person with gaze fixed on the avatar)</t>
  </si>
  <si>
    <t>Voice Live IP has built-in noise reduction:
https://learn.microsoft.com/en-us/azure/ai-services/speech-service/voice-live-api-reference-2025-10-01#key-features</t>
  </si>
  <si>
    <t>┌───────────────────────────────────────────────────────────────────────────────┐</t>
  </si>
  <si>
    <t>│                      End User:  Web Browser (Edge / Chrome)                   │</t>
  </si>
  <si>
    <t>│   ┌──────────────────────────┐        ┌──────────────────────────┐            │</t>
  </si>
  <si>
    <t>│   │ Microphone               │        │ Camera (optional)        │            │</t>
  </si>
  <si>
    <t>│   └─────────────┬────────────┘        └─────────────┬────────────┘            │</t>
  </si>
  <si>
    <t>│                 │                                   │                         │</t>
  </si>
  <si>
    <t>│                 ▼                                   ▼                         │</t>
  </si>
  <si>
    <t>│        Web Audio Capture                     Local Video Capture              │</t>
  </si>
  <si>
    <t>│                                                                               │</t>
  </si>
  <si>
    <t>└───────────────┬───────────────────────────────────────────────────────────────┘</t>
  </si>
  <si>
    <t xml:space="preserve">                │</t>
  </si>
  <si>
    <t xml:space="preserve">                │ HTTPS + WebSocket</t>
  </si>
  <si>
    <t xml:space="preserve">                ▼</t>
  </si>
  <si>
    <t>│                    Frontend Web Application (Static Web App)                  │</t>
  </si>
  <si>
    <t>│   Azure Static Web Apps  OR  Storage Account (Static Website)                 │</t>
  </si>
  <si>
    <t>│   - HTML / JavaScript UI                                                      │</t>
  </si>
  <si>
    <t>│   - WebRTC peer client                                                        │</t>
  </si>
  <si>
    <t>│   - Avatar video rendering (HTML &lt;video&gt;)                                     │</t>
  </si>
  <si>
    <t>│   - WebSocket client (audio + control events)                                 │</t>
  </si>
  <si>
    <t xml:space="preserve">                │ HTTPS / Secure WebSocket</t>
  </si>
  <si>
    <t xml:space="preserve">                │ (Azure Entra ID / App registration optional)</t>
  </si>
  <si>
    <t>│                  Backend Application (Compute Layer)                          │</t>
  </si>
  <si>
    <t>│   Azure App Service        OR        Azure Container Apps                     │</t>
  </si>
  <si>
    <t>│   (Python Runtime)                 (Containerized FastAPI App)                │</t>
  </si>
  <si>
    <t>│   voice-live-avatar (Python + FastAPI)                                        │</t>
  </si>
  <si>
    <t>│   Responsibilities:                                                           │</t>
  </si>
  <si>
    <t>│   - Voice Live session creation                                               │</t>
  </si>
  <si>
    <t>│   - Audio stream relay                                                        │</t>
  </si>
  <si>
    <t>│   - WebSocket control channel                                                 │</t>
  </si>
  <si>
    <t>│   - SDP exchange for WebRTC                                                   │</t>
  </si>
  <si>
    <t>│   Security:                                                                   │</t>
  </si>
  <si>
    <t>│   - Managed Identity                                                          │</t>
  </si>
  <si>
    <t>│   - Azure Key Vault (API keys / secrets)                                      │</t>
  </si>
  <si>
    <t xml:space="preserve">                │ Secure WebSocket (WSS)</t>
  </si>
  <si>
    <t>│                   Azure AI Speech – Voice Live API                            │</t>
  </si>
  <si>
    <t>│   - Semantic &amp; server‑side VAD                                                │</t>
  </si>
  <si>
    <t>│   - Noise reduction &amp; echo cancellation                                       │</t>
  </si>
  <si>
    <t>│   - Avatar animation events (visemes / blendshapes)                           │</t>
  </si>
  <si>
    <t>└───────────────┬───────────────────────┬───────────────────────────────────────┘</t>
  </si>
  <si>
    <t xml:space="preserve">                │                       │</t>
  </si>
  <si>
    <t xml:space="preserve">                ▼                       ▼</t>
  </si>
  <si>
    <t>┌──────────────────────────┐   ┌──────────────────────────────────────────┐</t>
  </si>
  <si>
    <t>│ Azure AI Speech          │   │ Azure OpenAI / Azure AI Foundry Models   │</t>
  </si>
  <si>
    <t>│ - Neural / HD voices     │   │ - Reasoning &amp; response generation        │</t>
  </si>
  <si>
    <t>│ - Avatar video synthesis │   │                                          │</t>
  </si>
  <si>
    <t>└─────────────┬────────────┘   └──────────────────────────────────────────┘</t>
  </si>
  <si>
    <t xml:space="preserve">              │</t>
  </si>
  <si>
    <t xml:space="preserve">              │ WebRTC Media (Video)</t>
  </si>
  <si>
    <t xml:space="preserve">              ▼</t>
  </si>
  <si>
    <t>│                 Azure WebRTC / TURN Infrastructure                            │</t>
  </si>
  <si>
    <t>│   - ICE negotiation                                                           │</t>
  </si>
  <si>
    <t>│   - NAT traversal                                                             │</t>
  </si>
  <si>
    <t>│   - Media relay (UDP 3478 / TCP 443)                                          │</t>
  </si>
  <si>
    <t>└───────────────────────────────────────────────────────────────────────────────┘</t>
  </si>
  <si>
    <t xml:space="preserve"> </t>
  </si>
  <si>
    <t>│   - Low‑latency speech‑to‑speech pipeline                                      │</t>
  </si>
  <si>
    <t>│ Text‑to‑Speech Avatars    │   │                                          │</t>
  </si>
  <si>
    <t>│                          │   │ - GPT‑Realtime / GPT‑4o / Phi models      │</t>
  </si>
  <si>
    <t>│               Real‑Time Avatar Video Stream to Browser                         │</t>
  </si>
  <si>
    <t xml:space="preserve">
In low connectivity situation, customer can use audio only instead of avatar.</t>
  </si>
  <si>
    <t>Azure Text to Speech Avatar itself is cloud‑hosted.
Running avatars “at the edge” is achieved by local execution of speech / GenAI components (TTS, STT, LLMs) on GPUs, while avatar rendering and streaming remain cloud‑served..</t>
  </si>
  <si>
    <t>Not Available</t>
  </si>
  <si>
    <t>TBD</t>
  </si>
  <si>
    <t>Meets Rquirements</t>
  </si>
  <si>
    <t xml:space="preserve">GitHub, TBD based on implementation </t>
  </si>
  <si>
    <t>TBD on pilot scope</t>
  </si>
  <si>
    <t>Microsoft Research has published peer‑reviewed studies showing that trust in human‑like AI systems—including digital avatars—is shaped by empathetic interaction quality, demonstrated competence over time, and transparent system behavior</t>
  </si>
  <si>
    <t>Total Cost = Voice Live / OpenAI (tokens) + Azure Speech (TTS Avatar) + Backend Compute (App Service / Container Apps) + Frontend Hosting (Static Web Apps) + Security / Ops (Key Vault + monitoring) + Optional: WebRTC relay / bandwidth</t>
  </si>
  <si>
    <t>Azure AI Voice Live Price Calculator</t>
  </si>
  <si>
    <t>Tier‑1</t>
  </si>
  <si>
    <t>Tier‑2</t>
  </si>
  <si>
    <t>Tier‑3</t>
  </si>
  <si>
    <t>Setup fee ($ one‑time)</t>
  </si>
  <si>
    <t>Monthly subscription ($/mo)</t>
  </si>
  <si>
    <t>Compute ($/GPU‑hr)</t>
  </si>
  <si>
    <t>Custom</t>
  </si>
  <si>
    <t>$0.000096/min</t>
  </si>
  <si>
    <t>$0.00008/min</t>
  </si>
  <si>
    <t>$0.00006/min</t>
  </si>
  <si>
    <t>1. INPUT ASSUMPTIONS (from calculator model)</t>
  </si>
  <si>
    <t>📊 Filled table (baseline)</t>
  </si>
  <si>
    <t>Avg compute time per study</t>
  </si>
  <si>
    <t>🧮 2. CALCULATION (based on GPT‑Realtime model)</t>
  </si>
  <si>
    <t>✅ Step 1: Audio tokens (per study)</t>
  </si>
  <si>
    <t>From calculator:</t>
  </si>
  <si>
    <t>10 tokens/sec input</t>
  </si>
  <si>
    <t>Input audio tokens = 5 × 60 × 10 = 3,000</t>
  </si>
  <si>
    <t>Output audio tokens = 5 × 60 × 20 = 6,000</t>
  </si>
  <si>
    <t>✅ Step 2: Total tokens</t>
  </si>
  <si>
    <t>Total input tokens = 3,000 + 2,000 = 5,000</t>
  </si>
  <si>
    <t>Total output tokens = 6,000</t>
  </si>
  <si>
    <t>✅ Step 3: LLM cost (Azure realtime pricing baseline)</t>
  </si>
  <si>
    <t>Input cost = 5,000 × 32 / 1M = $0.16</t>
  </si>
  <si>
    <t>Output cost = 6,000 × 64 / 1M = $0.384</t>
  </si>
  <si>
    <r>
      <t xml:space="preserve">✅ LLM subtotal = </t>
    </r>
    <r>
      <rPr>
        <b/>
        <sz val="8"/>
        <color theme="1"/>
        <rFont val="Segoe UI"/>
        <family val="2"/>
      </rPr>
      <t>$0.544 per study</t>
    </r>
  </si>
  <si>
    <t>✅ Step 4: Avatar / TTS cost</t>
  </si>
  <si>
    <t>~150 words/min → ~750 chars/min</t>
  </si>
  <si>
    <t>~$15 / 1M chars</t>
  </si>
  <si>
    <t>TTS cost = 5 × 750 × 15 / 1M ≈ $0.056</t>
  </si>
  <si>
    <t>✅ Step 5: Compute cost</t>
  </si>
  <si>
    <t>Using Azure Container Apps assumption:</t>
  </si>
  <si>
    <t>Compute = 3 min × 0.003 ≈ $0.009</t>
  </si>
  <si>
    <t>✅ ✅ FINAL COST</t>
  </si>
  <si>
    <t>Per study ≈ $0.544 + $0.056 + $0.009 ≈ $0.61</t>
  </si>
  <si>
    <t>✅ Monthly cost</t>
  </si>
  <si>
    <t>1,000 × $0.61 ≈ $610/month</t>
  </si>
  <si>
    <t>✅ 3. FINAL COST SUMMARY</t>
  </si>
  <si>
    <t>Metric</t>
  </si>
  <si>
    <t>Cost per study</t>
  </si>
  <si>
    <t>$0.60–0.62</t>
  </si>
  <si>
    <t>Cost per minute</t>
  </si>
  <si>
    <t>~$0.12</t>
  </si>
  <si>
    <t>Monthly cost</t>
  </si>
  <si>
    <t>~$610</t>
  </si>
  <si>
    <t>🧩 4. TIER PRICING MODEL (what you asked to build)</t>
  </si>
  <si>
    <r>
      <t xml:space="preserve">Now I translate this into </t>
    </r>
    <r>
      <rPr>
        <b/>
        <sz val="8"/>
        <color theme="1"/>
        <rFont val="Segoe UI"/>
        <family val="2"/>
      </rPr>
      <t>commercial tiers</t>
    </r>
    <r>
      <rPr>
        <sz val="8"/>
        <color theme="1"/>
        <rFont val="Segoe UI"/>
        <family val="2"/>
      </rPr>
      <t xml:space="preserve"> (very important for positioning).</t>
    </r>
  </si>
  <si>
    <t>✅ Pricing logic</t>
  </si>
  <si>
    <t>Component</t>
  </si>
  <si>
    <t>What it represents</t>
  </si>
  <si>
    <t>Setup fee</t>
  </si>
  <si>
    <t>Implementation + integration</t>
  </si>
  <si>
    <t>Monthly license</t>
  </si>
  <si>
    <t>Platform margin + infra baseline</t>
  </si>
  <si>
    <t>Compute</t>
  </si>
  <si>
    <t>GPU / backend services</t>
  </si>
  <si>
    <t>LLM</t>
  </si>
  <si>
    <t>token usage</t>
  </si>
  <si>
    <t>Avatar rendering</t>
  </si>
  <si>
    <t>TTS + animation</t>
  </si>
  <si>
    <t>✅ FILLED TIER TABLE</t>
  </si>
  <si>
    <t>📊 Suggested enterprise‑ready pricing model</t>
  </si>
  <si>
    <t>20 tokens/sec output</t>
  </si>
  <si>
    <t>GPT Realtime Pricing Calculator — Estimate gpt-realtime-1.5 &amp; gpt-realtime-mini Costs | Model Availability</t>
  </si>
  <si>
    <t>Requirement Supported in Azure</t>
  </si>
  <si>
    <t>YES: https://learn.microsoft.com/en-us/azure/ai-services/speech-service/voice-live-faq#which-languages-does-voice-live-support-
https://techcommunity.microsoft.com/blog/azure-ai-foundry-blog/building-real-time-speech-translation-with-ai-avatars-with-azure-speech-services/4490972</t>
  </si>
  <si>
    <t xml:space="preserve">YES https://techcommunity.microsoft.com/blog/azure-ai-foundry-blog/personal-voice-upgraded-to-v2-1-in-azure-ai-speech-more-expressive-than-ever-bef/4435233
</t>
  </si>
  <si>
    <t>YES</t>
  </si>
  <si>
    <t>YES. In specific regions</t>
  </si>
  <si>
    <r>
      <t xml:space="preserve">Azure AI Speech and Avatar solutions deployed in healthcare organizations for patient engagement, virtual health assistants, and clinical communication. Reference customers available under NDA
Direct Integration Examples including HLS Customers:
</t>
    </r>
    <r>
      <rPr>
        <b/>
        <sz val="10"/>
        <rFont val="Arial"/>
        <family val="2"/>
      </rPr>
      <t>1. Fujifilm with partner called NURA</t>
    </r>
    <r>
      <rPr>
        <sz val="10"/>
        <rFont val="Arial"/>
        <family val="2"/>
      </rPr>
      <t xml:space="preserve">
https://techcommunity.microsoft.com/blog/azure-ai-foundry-blog/text-to-speech-avatar-in-azure-ai-is-now-generally-available/4224708
2. Accenture | Frontline Worker Health Copilot
Indirect Azure Integration Examples:
</t>
    </r>
    <r>
      <rPr>
        <b/>
        <sz val="10"/>
        <rFont val="Arial"/>
        <family val="2"/>
      </rPr>
      <t xml:space="preserve">Handsfree Health: </t>
    </r>
    <r>
      <rPr>
        <sz val="10"/>
        <rFont val="Arial"/>
        <family val="2"/>
      </rPr>
      <t xml:space="preserve">https://www.microsoft.com/en/customers/story/1582462764915003677-handsfree-health-healthcare-azure?msockid=3f9e811f0b2d6ab015f7945c0ab46be5
</t>
    </r>
    <r>
      <rPr>
        <b/>
        <sz val="10"/>
        <rFont val="Arial"/>
        <family val="2"/>
      </rPr>
      <t>Healow</t>
    </r>
    <r>
      <rPr>
        <sz val="10"/>
        <rFont val="Arial"/>
        <family val="2"/>
      </rPr>
      <t>: Improves responsiveness and accuracy of patient communications
https://www.microsoft.com/en/customers/story/23912-healow-azure-ai-foundry</t>
    </r>
  </si>
  <si>
    <t>YES https://learn.microsoft.com/en-us/azure/ai-services/speech-service/text-to-speech-avatar/what-is-text-to-speech-avatar</t>
  </si>
  <si>
    <t xml:space="preserve">YES Gaze: body language: Voice Live API: </t>
  </si>
  <si>
    <t>YES https://techcommunity.microsoft.com/blog/azure-ai-foundry-blog/latest-avatar-updates-4k-support-and-emotion-control-features/4449995</t>
  </si>
  <si>
    <t>YES: https://techcommunity.microsoft.com/blog/azure-ai-foundry-blog/latest-avatar-updates-4k-support-and-emotion-control-features/4449996</t>
  </si>
  <si>
    <t>YES https://learn.microsoft.com/en-us/azure/ai-services/speech-service/speech-synthesis-markup-voice</t>
  </si>
  <si>
    <t>YES  https://learn.microsoft.com/en-us/azure/ai-services/speech-service/voice-live-faq#which-languages-does-voice-live-support-</t>
  </si>
  <si>
    <t>YES: https://techcommunity.microsoft.com/blog/azure-ai-foundry-blog/personal-voice-upgraded-to-v2-1-in-azure-ai-speech-more-expressive-than-ever-bef/4435234</t>
  </si>
  <si>
    <t>YES: https://techcommunity.microsoft.com/blog/azure-ai-foundry-blog/personal-voice-upgraded-to-v2-1-in-azure-ai-speech-more-expressive-than-ever-bef/4435235</t>
  </si>
  <si>
    <t>YES: https://learn.microsoft.com/en-us/azure/ai-services/speech-service/text-to-speech-avatar/what-is-text-to-speech-avatar#sample-code
https://learn.microsoft.com/en-us/azure/ai-services/speech-service/voice-live-how-to</t>
  </si>
  <si>
    <t xml:space="preserve">YES </t>
  </si>
  <si>
    <t>YES: https://learn.microsoft.com/en-us/azure/ai-services/speech-service/text-to-speech-avatar/what-is-text-to-speech-avatar#sample-code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</si>
</sst>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31">
    <font>
      <sz val="11"/>
      <color theme="1"/>
      <name val="Calibri"/>
      <family val="2"/>
      <scheme val="minor"/>
    </font>
    <font>
      <sz val="12"/>
      <color theme="1"/>
      <name val="Calibri"/>
      <family val="2"/>
      <scheme val="minor"/>
    </font>
    <font>
      <b/>
      <sz val="12"/>
      <name val="Calibri (Body)"/>
    </font>
    <font>
      <sz val="12"/>
      <color theme="1"/>
      <name val="Calibri (Body)"/>
    </font>
    <font>
      <b/>
      <sz val="12"/>
      <color theme="1"/>
      <name val="Calibri (Body)"/>
    </font>
    <font>
      <b/>
      <sz val="14"/>
      <color theme="1"/>
      <name val="Calibri"/>
      <family val="2"/>
      <scheme val="minor"/>
    </font>
    <font>
      <sz val="14"/>
      <color theme="1"/>
      <name val="Calibri (Body)"/>
    </font>
    <font>
      <b/>
      <sz val="11"/>
      <name val="Calibri"/>
      <family val="2"/>
      <scheme val="minor"/>
    </font>
    <font>
      <sz val="11"/>
      <color rgb="FF000000"/>
      <name val="Calibri"/>
      <family val="2"/>
      <scheme val="minor"/>
    </font>
    <font>
      <b/>
      <sz val="11"/>
      <color theme="1"/>
      <name val="Calibri"/>
      <family val="2"/>
      <scheme val="minor"/>
    </font>
    <font>
      <b/>
      <sz val="11"/>
      <color rgb="FF000000"/>
      <name val="Calibri"/>
      <family val="2"/>
      <scheme val="minor"/>
    </font>
    <font>
      <b/>
      <sz val="11"/>
      <color rgb="FFFFFFFF"/>
      <name val="Arial"/>
      <family val="2"/>
    </font>
    <font>
      <sz val="10"/>
      <name val="Arial"/>
      <family val="2"/>
    </font>
    <font>
      <b/>
      <sz val="10"/>
      <color rgb="FFFFFFFF"/>
      <name val="Arial"/>
      <family val="2"/>
    </font>
    <font>
      <u/>
      <sz val="11"/>
      <color theme="10"/>
      <name val="Calibri"/>
      <family val="2"/>
      <scheme val="minor"/>
    </font>
    <font>
      <sz val="8"/>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2"/>
      <color theme="1"/>
      <name val="Aptos"/>
      <family val="2"/>
    </font>
    <font>
      <sz val="10"/>
      <color theme="1"/>
      <name val="Courier New"/>
      <family val="3"/>
    </font>
    <font>
      <sz val="10"/>
      <color rgb="FF9C0006"/>
      <name val="Calibri"/>
      <family val="2"/>
      <scheme val="minor"/>
    </font>
    <font>
      <sz val="8"/>
      <color theme="1"/>
      <name val="Segoe UI"/>
      <family val="2"/>
    </font>
    <font>
      <b/>
      <sz val="11"/>
      <color theme="1"/>
      <name val="Segoe UI"/>
      <family val="2"/>
    </font>
    <font>
      <sz val="11"/>
      <color theme="1"/>
      <name val="Segoe UI"/>
      <family val="2"/>
    </font>
    <font>
      <b/>
      <sz val="24"/>
      <color theme="1"/>
      <name val="Segoe UI"/>
      <family val="2"/>
    </font>
    <font>
      <b/>
      <sz val="13.5"/>
      <color theme="1"/>
      <name val="Segoe UI"/>
      <family val="2"/>
    </font>
    <font>
      <b/>
      <sz val="18"/>
      <color theme="1"/>
      <name val="Segoe UI"/>
      <family val="2"/>
    </font>
    <font>
      <sz val="10"/>
      <color theme="1"/>
      <name val="Arial Unicode MS"/>
    </font>
    <font>
      <b/>
      <sz val="8"/>
      <color theme="1"/>
      <name val="Segoe UI"/>
      <family val="2"/>
    </font>
    <font>
      <b/>
      <sz val="10"/>
      <name val="Arial"/>
      <family val="2"/>
    </font>
  </fonts>
  <fills count="17">
    <fill>
      <patternFill patternType="none"/>
    </fill>
    <fill>
      <patternFill patternType="gray125"/>
    </fill>
    <fill>
      <patternFill patternType="solid">
        <fgColor theme="4"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6"/>
        <bgColor indexed="64"/>
      </patternFill>
    </fill>
    <fill>
      <patternFill patternType="solid">
        <fgColor rgb="FFDDEBF7"/>
        <bgColor rgb="FFDDEBF7"/>
      </patternFill>
    </fill>
    <fill>
      <patternFill patternType="solid">
        <fgColor rgb="FF4472C4"/>
      </patternFill>
    </fill>
    <fill>
      <patternFill patternType="solid">
        <fgColor rgb="FFD9E2F3"/>
      </patternFill>
    </fill>
    <fill>
      <patternFill patternType="solid">
        <fgColor rgb="FF2F5496"/>
      </patternFill>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5" tint="0.79998168889431442"/>
        <bgColor indexed="64"/>
      </patternFill>
    </fill>
    <fill>
      <patternFill patternType="solid">
        <fgColor rgb="FFF5F5F5"/>
        <bgColor indexed="64"/>
      </patternFill>
    </fill>
    <fill>
      <patternFill patternType="solid">
        <fgColor theme="6" tint="0.79998168889431442"/>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right/>
      <top/>
      <bottom style="thin">
        <color indexed="64"/>
      </bottom>
      <diagonal/>
    </border>
    <border>
      <left style="thin">
        <color indexed="64"/>
      </left>
      <right/>
      <top/>
      <bottom style="thin">
        <color indexed="64"/>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right style="thin">
        <color rgb="FFCCCCCC"/>
      </right>
      <top/>
      <bottom style="thin">
        <color rgb="FFCCCCCC"/>
      </bottom>
      <diagonal/>
    </border>
    <border>
      <left/>
      <right style="thin">
        <color rgb="FFCCCCCC"/>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CCCCCC"/>
      </right>
      <top/>
      <bottom style="thin">
        <color rgb="FFCCCCCC"/>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style="thin">
        <color auto="1"/>
      </top>
      <bottom/>
      <diagonal/>
    </border>
    <border>
      <left/>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
      <left/>
      <right/>
      <top style="thin">
        <color indexed="64"/>
      </top>
      <bottom/>
      <diagonal/>
    </border>
  </borders>
  <cellStyleXfs count="5">
    <xf numFmtId="0" fontId="0" fillId="0" borderId="0"/>
    <xf numFmtId="0" fontId="14" fillId="0" borderId="0" applyNumberFormat="0" applyFill="0" applyBorder="0" applyAlignment="0" applyProtection="0"/>
    <xf numFmtId="0" fontId="16" fillId="10" borderId="0" applyNumberFormat="0" applyBorder="0" applyAlignment="0" applyProtection="0"/>
    <xf numFmtId="0" fontId="17" fillId="11" borderId="0" applyNumberFormat="0" applyBorder="0" applyAlignment="0" applyProtection="0"/>
    <xf numFmtId="0" fontId="18" fillId="12" borderId="0" applyNumberFormat="0" applyBorder="0" applyAlignment="0" applyProtection="0"/>
  </cellStyleXfs>
  <cellXfs count="119">
    <xf numFmtId="0" fontId="0" fillId="0" borderId="0" xfId="0"/>
    <xf numFmtId="0" fontId="2" fillId="0" borderId="1" xfId="0" applyFont="1" applyBorder="1" applyAlignment="1">
      <alignment horizontal="center" vertical="center"/>
    </xf>
    <xf numFmtId="0" fontId="3" fillId="0" borderId="0" xfId="0" applyFont="1"/>
    <xf numFmtId="0" fontId="3" fillId="0" borderId="0" xfId="0" applyFont="1" applyAlignment="1">
      <alignment wrapText="1"/>
    </xf>
    <xf numFmtId="0" fontId="3" fillId="0" borderId="6" xfId="0" applyFont="1" applyBorder="1" applyAlignment="1">
      <alignment horizontal="left" vertical="center" indent="1"/>
    </xf>
    <xf numFmtId="0" fontId="3" fillId="0" borderId="6" xfId="0" applyFont="1" applyBorder="1" applyAlignment="1">
      <alignment horizontal="left" indent="1"/>
    </xf>
    <xf numFmtId="0" fontId="4" fillId="2" borderId="1" xfId="0" applyFont="1" applyFill="1" applyBorder="1"/>
    <xf numFmtId="0" fontId="4" fillId="0" borderId="0" xfId="0" applyFont="1"/>
    <xf numFmtId="0" fontId="3" fillId="0" borderId="2" xfId="0" applyFont="1" applyBorder="1" applyAlignment="1">
      <alignment wrapText="1"/>
    </xf>
    <xf numFmtId="0" fontId="3" fillId="0" borderId="3" xfId="0" applyFont="1" applyBorder="1" applyAlignment="1">
      <alignment wrapText="1"/>
    </xf>
    <xf numFmtId="0" fontId="4" fillId="0" borderId="2" xfId="0" applyFont="1" applyBorder="1" applyAlignment="1">
      <alignment wrapText="1"/>
    </xf>
    <xf numFmtId="0" fontId="4" fillId="0" borderId="3" xfId="0" applyFont="1" applyBorder="1" applyAlignment="1">
      <alignment wrapText="1"/>
    </xf>
    <xf numFmtId="0" fontId="4" fillId="0" borderId="0" xfId="0" applyFont="1" applyAlignment="1">
      <alignment wrapText="1"/>
    </xf>
    <xf numFmtId="0" fontId="4" fillId="0" borderId="8" xfId="0" applyFont="1" applyBorder="1"/>
    <xf numFmtId="0" fontId="4" fillId="0" borderId="7" xfId="0" applyFont="1" applyBorder="1"/>
    <xf numFmtId="0" fontId="4" fillId="0" borderId="4" xfId="0" applyFont="1" applyBorder="1" applyAlignment="1">
      <alignment wrapText="1"/>
    </xf>
    <xf numFmtId="0" fontId="3" fillId="0" borderId="7" xfId="0" applyFont="1" applyBorder="1"/>
    <xf numFmtId="0" fontId="3" fillId="0" borderId="4" xfId="0" applyFont="1" applyBorder="1" applyAlignment="1">
      <alignment wrapText="1"/>
    </xf>
    <xf numFmtId="0" fontId="3" fillId="0" borderId="0" xfId="0" applyFont="1" applyAlignment="1">
      <alignment vertical="center" wrapText="1"/>
    </xf>
    <xf numFmtId="0" fontId="3" fillId="0" borderId="6" xfId="0" applyFont="1" applyBorder="1" applyAlignment="1">
      <alignment horizontal="left" vertical="center" wrapText="1" indent="1"/>
    </xf>
    <xf numFmtId="0" fontId="5" fillId="0" borderId="0" xfId="0" applyFont="1"/>
    <xf numFmtId="0" fontId="3" fillId="0" borderId="0" xfId="0" applyFont="1" applyAlignment="1">
      <alignment vertical="center"/>
    </xf>
    <xf numFmtId="0" fontId="3" fillId="0" borderId="0" xfId="0" applyFont="1" applyAlignment="1">
      <alignment horizontal="center" vertical="center"/>
    </xf>
    <xf numFmtId="0" fontId="1" fillId="0" borderId="6" xfId="0" applyFont="1" applyBorder="1" applyAlignment="1">
      <alignment horizontal="left" vertical="center" wrapText="1" inden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6" xfId="0" applyFont="1" applyBorder="1" applyAlignment="1">
      <alignment vertical="center"/>
    </xf>
    <xf numFmtId="0" fontId="4" fillId="0" borderId="6" xfId="0" applyFont="1" applyBorder="1" applyAlignment="1">
      <alignment vertical="center"/>
    </xf>
    <xf numFmtId="0" fontId="3" fillId="0" borderId="7" xfId="0" applyFont="1" applyBorder="1" applyAlignment="1">
      <alignment vertical="center"/>
    </xf>
    <xf numFmtId="0" fontId="3" fillId="0" borderId="7" xfId="0" applyFont="1" applyBorder="1" applyAlignment="1">
      <alignment horizontal="left" vertical="center" indent="1"/>
    </xf>
    <xf numFmtId="0" fontId="3" fillId="0" borderId="9" xfId="0" applyFont="1" applyBorder="1"/>
    <xf numFmtId="0" fontId="3" fillId="0" borderId="10" xfId="0" applyFont="1" applyBorder="1" applyAlignment="1">
      <alignment wrapText="1"/>
    </xf>
    <xf numFmtId="0" fontId="4" fillId="0" borderId="10" xfId="0" applyFont="1" applyBorder="1"/>
    <xf numFmtId="0" fontId="4" fillId="0" borderId="9" xfId="0" applyFont="1" applyBorder="1" applyAlignment="1">
      <alignment wrapText="1"/>
    </xf>
    <xf numFmtId="0" fontId="0" fillId="0" borderId="0" xfId="0" applyAlignment="1">
      <alignment wrapText="1"/>
    </xf>
    <xf numFmtId="0" fontId="8" fillId="0" borderId="13" xfId="0" applyFont="1" applyBorder="1" applyAlignment="1">
      <alignment horizontal="right" vertical="center"/>
    </xf>
    <xf numFmtId="0" fontId="0" fillId="0" borderId="0" xfId="0" applyAlignment="1">
      <alignment horizontal="right" vertical="center"/>
    </xf>
    <xf numFmtId="0" fontId="7" fillId="6" borderId="11" xfId="0" applyFont="1" applyFill="1" applyBorder="1" applyAlignment="1">
      <alignment horizontal="left" vertical="center"/>
    </xf>
    <xf numFmtId="0" fontId="7" fillId="6" borderId="12" xfId="0" applyFont="1" applyFill="1" applyBorder="1" applyAlignment="1">
      <alignment horizontal="left" vertical="center"/>
    </xf>
    <xf numFmtId="0" fontId="7" fillId="6" borderId="12" xfId="0" applyFont="1" applyFill="1" applyBorder="1" applyAlignment="1">
      <alignment horizontal="left" vertical="center" wrapText="1"/>
    </xf>
    <xf numFmtId="0" fontId="7" fillId="6" borderId="15" xfId="0" applyFont="1" applyFill="1" applyBorder="1" applyAlignment="1">
      <alignment horizontal="left" vertical="center"/>
    </xf>
    <xf numFmtId="0" fontId="8" fillId="0" borderId="14" xfId="0" applyFont="1" applyBorder="1" applyAlignment="1">
      <alignment horizontal="left" vertical="center"/>
    </xf>
    <xf numFmtId="0" fontId="8" fillId="0" borderId="14" xfId="0" applyFont="1" applyBorder="1" applyAlignment="1">
      <alignment horizontal="left" vertical="center" wrapText="1"/>
    </xf>
    <xf numFmtId="0" fontId="8" fillId="0" borderId="15" xfId="0" applyFont="1" applyBorder="1" applyAlignment="1">
      <alignment horizontal="left" vertical="center"/>
    </xf>
    <xf numFmtId="0" fontId="0" fillId="0" borderId="0" xfId="0" applyAlignment="1">
      <alignment horizontal="right" vertical="center" wrapText="1"/>
    </xf>
    <xf numFmtId="0" fontId="10" fillId="0" borderId="15" xfId="0" applyFont="1" applyBorder="1" applyAlignment="1">
      <alignment horizontal="left" vertical="center"/>
    </xf>
    <xf numFmtId="0" fontId="0" fillId="0" borderId="16" xfId="0" applyBorder="1" applyAlignment="1">
      <alignment horizontal="right" vertical="center"/>
    </xf>
    <xf numFmtId="0" fontId="0" fillId="0" borderId="17" xfId="0" applyBorder="1" applyAlignment="1">
      <alignment horizontal="right" vertical="center"/>
    </xf>
    <xf numFmtId="0" fontId="8" fillId="0" borderId="19" xfId="0" applyFont="1" applyBorder="1" applyAlignment="1">
      <alignment horizontal="right" vertical="center"/>
    </xf>
    <xf numFmtId="0" fontId="0" fillId="0" borderId="20" xfId="0" applyBorder="1"/>
    <xf numFmtId="0" fontId="0" fillId="0" borderId="21" xfId="0" applyBorder="1" applyAlignment="1">
      <alignment horizontal="right" vertical="center"/>
    </xf>
    <xf numFmtId="0" fontId="0" fillId="0" borderId="21" xfId="0" applyBorder="1"/>
    <xf numFmtId="0" fontId="0" fillId="0" borderId="22" xfId="0" applyBorder="1"/>
    <xf numFmtId="0" fontId="0" fillId="0" borderId="23" xfId="0" applyBorder="1"/>
    <xf numFmtId="0" fontId="0" fillId="0" borderId="23" xfId="0" applyBorder="1" applyAlignment="1">
      <alignment wrapText="1"/>
    </xf>
    <xf numFmtId="0" fontId="0" fillId="0" borderId="24" xfId="0" applyBorder="1"/>
    <xf numFmtId="0" fontId="9" fillId="0" borderId="17" xfId="0" applyFont="1" applyBorder="1" applyAlignment="1">
      <alignment horizontal="center" vertical="center"/>
    </xf>
    <xf numFmtId="0" fontId="9" fillId="0" borderId="17" xfId="0" applyFont="1" applyBorder="1" applyAlignment="1">
      <alignment horizontal="center" vertical="center" wrapText="1"/>
    </xf>
    <xf numFmtId="0" fontId="9" fillId="0" borderId="18" xfId="0" applyFont="1" applyBorder="1" applyAlignment="1">
      <alignment horizontal="center" vertical="center"/>
    </xf>
    <xf numFmtId="0" fontId="2" fillId="0" borderId="26" xfId="0" applyFont="1" applyBorder="1" applyAlignment="1">
      <alignment horizontal="center" vertical="center"/>
    </xf>
    <xf numFmtId="0" fontId="4" fillId="0" borderId="25" xfId="0" applyFont="1" applyBorder="1" applyAlignment="1">
      <alignment wrapText="1"/>
    </xf>
    <xf numFmtId="0" fontId="5" fillId="0" borderId="0" xfId="0" applyFont="1" applyAlignment="1">
      <alignment wrapText="1"/>
    </xf>
    <xf numFmtId="0" fontId="14" fillId="0" borderId="0" xfId="1" applyAlignment="1">
      <alignment wrapText="1"/>
    </xf>
    <xf numFmtId="0" fontId="20" fillId="0" borderId="0" xfId="0" applyFont="1" applyAlignment="1">
      <alignment vertical="center"/>
    </xf>
    <xf numFmtId="0" fontId="19" fillId="0" borderId="0" xfId="0" applyFont="1" applyAlignment="1">
      <alignment vertical="center"/>
    </xf>
    <xf numFmtId="0" fontId="0" fillId="0" borderId="0" xfId="0" applyAlignment="1">
      <alignment vertical="center"/>
    </xf>
    <xf numFmtId="0" fontId="22" fillId="0" borderId="0" xfId="0" applyFont="1" applyAlignment="1">
      <alignment vertical="center"/>
    </xf>
    <xf numFmtId="0" fontId="14" fillId="0" borderId="0" xfId="1"/>
    <xf numFmtId="0" fontId="23" fillId="15" borderId="27" xfId="0" applyFont="1" applyFill="1" applyBorder="1" applyAlignment="1">
      <alignment horizontal="center" vertical="center" wrapText="1"/>
    </xf>
    <xf numFmtId="0" fontId="24" fillId="0" borderId="27" xfId="0" applyFont="1" applyBorder="1" applyAlignment="1">
      <alignment vertical="center" wrapText="1"/>
    </xf>
    <xf numFmtId="0" fontId="25" fillId="0" borderId="0" xfId="0" applyFont="1" applyAlignment="1">
      <alignment vertical="center"/>
    </xf>
    <xf numFmtId="0" fontId="26" fillId="0" borderId="0" xfId="0" applyFont="1" applyAlignment="1">
      <alignment vertical="center"/>
    </xf>
    <xf numFmtId="0" fontId="27" fillId="0" borderId="0" xfId="0" applyFont="1" applyAlignment="1">
      <alignment vertical="center"/>
    </xf>
    <xf numFmtId="0" fontId="0" fillId="0" borderId="0" xfId="0" applyAlignment="1">
      <alignment horizontal="left" vertical="center" indent="1"/>
    </xf>
    <xf numFmtId="0" fontId="22" fillId="0" borderId="0" xfId="0" applyFont="1" applyAlignment="1">
      <alignment horizontal="left" vertical="center" indent="1"/>
    </xf>
    <xf numFmtId="0" fontId="28" fillId="0" borderId="0" xfId="0" applyFont="1" applyAlignment="1">
      <alignment vertical="center"/>
    </xf>
    <xf numFmtId="0" fontId="23" fillId="0" borderId="27" xfId="0" applyFont="1" applyBorder="1" applyAlignment="1">
      <alignment vertical="center" wrapText="1"/>
    </xf>
    <xf numFmtId="3" fontId="24" fillId="0" borderId="27" xfId="0" applyNumberFormat="1" applyFont="1" applyBorder="1" applyAlignment="1">
      <alignment horizontal="center" vertical="center" wrapText="1"/>
    </xf>
    <xf numFmtId="0" fontId="24" fillId="0" borderId="27" xfId="0" applyFont="1" applyBorder="1" applyAlignment="1">
      <alignment horizontal="center" vertical="center" wrapText="1"/>
    </xf>
    <xf numFmtId="8" fontId="24" fillId="0" borderId="27" xfId="0" applyNumberFormat="1" applyFont="1" applyBorder="1" applyAlignment="1">
      <alignment horizontal="center" vertical="center" wrapText="1"/>
    </xf>
    <xf numFmtId="0" fontId="8" fillId="0" borderId="14" xfId="0" applyFont="1" applyBorder="1" applyAlignment="1">
      <alignment horizontal="center" vertical="center"/>
    </xf>
    <xf numFmtId="0" fontId="8" fillId="14" borderId="14" xfId="0" applyFont="1" applyFill="1" applyBorder="1" applyAlignment="1">
      <alignment horizontal="center" vertical="center"/>
    </xf>
    <xf numFmtId="0" fontId="22" fillId="0" borderId="0" xfId="0" applyFont="1"/>
    <xf numFmtId="0" fontId="23" fillId="15" borderId="27" xfId="0" applyFont="1" applyFill="1" applyBorder="1" applyAlignment="1">
      <alignment horizontal="left" vertical="center" wrapText="1"/>
    </xf>
    <xf numFmtId="0" fontId="4" fillId="2" borderId="1" xfId="0" applyFont="1" applyFill="1" applyBorder="1" applyAlignment="1">
      <alignment horizontal="left"/>
    </xf>
    <xf numFmtId="0" fontId="3" fillId="0" borderId="0" xfId="0" applyFont="1" applyAlignment="1">
      <alignment horizontal="left"/>
    </xf>
    <xf numFmtId="0" fontId="3" fillId="4" borderId="28" xfId="0" applyFont="1" applyFill="1" applyBorder="1" applyAlignment="1">
      <alignment vertical="center" wrapText="1"/>
    </xf>
    <xf numFmtId="0" fontId="3" fillId="5" borderId="28" xfId="0" applyFont="1" applyFill="1" applyBorder="1" applyAlignment="1">
      <alignment vertical="center"/>
    </xf>
    <xf numFmtId="0" fontId="11" fillId="7" borderId="28" xfId="0" applyFont="1" applyFill="1" applyBorder="1" applyAlignment="1">
      <alignment horizontal="left" vertical="center" wrapText="1"/>
    </xf>
    <xf numFmtId="0" fontId="3" fillId="0" borderId="28" xfId="0" applyFont="1" applyBorder="1"/>
    <xf numFmtId="0" fontId="11" fillId="7" borderId="25" xfId="0" applyFont="1" applyFill="1" applyBorder="1" applyAlignment="1">
      <alignment horizontal="center" vertical="center" wrapText="1"/>
    </xf>
    <xf numFmtId="0" fontId="13" fillId="9" borderId="0" xfId="0" applyFont="1" applyFill="1" applyAlignment="1">
      <alignment horizontal="left"/>
    </xf>
    <xf numFmtId="0" fontId="13" fillId="9" borderId="3" xfId="0" applyFont="1" applyFill="1" applyBorder="1"/>
    <xf numFmtId="0" fontId="12" fillId="8" borderId="3" xfId="0" applyFont="1" applyFill="1" applyBorder="1" applyAlignment="1">
      <alignment vertical="top" wrapText="1"/>
    </xf>
    <xf numFmtId="0" fontId="12" fillId="0" borderId="3" xfId="0" applyFont="1" applyBorder="1" applyAlignment="1">
      <alignment vertical="top" wrapText="1"/>
    </xf>
    <xf numFmtId="0" fontId="17" fillId="13" borderId="0" xfId="3" applyFill="1" applyBorder="1" applyAlignment="1">
      <alignment horizontal="left"/>
    </xf>
    <xf numFmtId="0" fontId="4" fillId="0" borderId="0" xfId="0" applyFont="1" applyAlignment="1">
      <alignment vertical="center" wrapText="1"/>
    </xf>
    <xf numFmtId="0" fontId="21" fillId="16" borderId="0" xfId="3" applyFont="1" applyFill="1" applyBorder="1" applyAlignment="1">
      <alignment horizontal="left" wrapText="1"/>
    </xf>
    <xf numFmtId="0" fontId="16" fillId="10" borderId="0" xfId="2" applyBorder="1" applyAlignment="1">
      <alignment horizontal="left"/>
    </xf>
    <xf numFmtId="0" fontId="18" fillId="12" borderId="0" xfId="4" applyBorder="1" applyAlignment="1">
      <alignment horizontal="left"/>
    </xf>
    <xf numFmtId="0" fontId="3" fillId="14" borderId="0" xfId="0" applyFont="1" applyFill="1" applyAlignment="1">
      <alignment horizontal="left"/>
    </xf>
    <xf numFmtId="0" fontId="3" fillId="0" borderId="9" xfId="0" applyFont="1" applyBorder="1" applyAlignment="1">
      <alignment vertical="center" wrapText="1"/>
    </xf>
    <xf numFmtId="0" fontId="3" fillId="0" borderId="9" xfId="0" applyFont="1" applyBorder="1" applyAlignment="1">
      <alignment vertical="center"/>
    </xf>
    <xf numFmtId="0" fontId="3" fillId="0" borderId="9" xfId="0" applyFont="1" applyBorder="1" applyAlignment="1">
      <alignment horizontal="left"/>
    </xf>
    <xf numFmtId="0" fontId="0" fillId="0" borderId="4" xfId="0" applyBorder="1"/>
    <xf numFmtId="0" fontId="16" fillId="10" borderId="0" xfId="2" applyBorder="1" applyAlignment="1">
      <alignment horizontal="left" wrapText="1"/>
    </xf>
    <xf numFmtId="0" fontId="16" fillId="10" borderId="0" xfId="2" applyBorder="1" applyAlignment="1">
      <alignment horizontal="left" vertical="center" wrapText="1"/>
    </xf>
    <xf numFmtId="0" fontId="4" fillId="2" borderId="1" xfId="0" applyFont="1" applyFill="1" applyBorder="1" applyAlignment="1">
      <alignment horizontal="center"/>
    </xf>
    <xf numFmtId="0" fontId="0" fillId="0" borderId="26" xfId="0" applyBorder="1"/>
    <xf numFmtId="0" fontId="0" fillId="0" borderId="5" xfId="0" applyBorder="1"/>
    <xf numFmtId="0" fontId="2" fillId="3" borderId="1" xfId="0" applyFont="1" applyFill="1" applyBorder="1" applyAlignment="1">
      <alignment horizontal="center" vertical="center" wrapText="1"/>
    </xf>
    <xf numFmtId="0" fontId="6" fillId="0" borderId="0" xfId="0" applyFont="1" applyAlignment="1">
      <alignment horizontal="left" vertical="center" wrapText="1"/>
    </xf>
    <xf numFmtId="0" fontId="3" fillId="0" borderId="0" xfId="0" applyFont="1"/>
    <xf numFmtId="0" fontId="3" fillId="0" borderId="0" xfId="0" applyFont="1" applyAlignment="1">
      <alignment wrapText="1"/>
    </xf>
    <xf numFmtId="0" fontId="3"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vertical="center"/>
    </xf>
    <xf numFmtId="0" fontId="5" fillId="0" borderId="0" xfId="0" applyFont="1" applyAlignment="1">
      <alignment horizontal="left" vertical="center" wrapText="1"/>
    </xf>
    <xf numFmtId="0" fontId="5" fillId="0" borderId="0" xfId="0" applyFont="1" applyAlignment="1">
      <alignment wrapText="1"/>
    </xf>
  </cellXfs>
  <cellStyles count="5">
    <cellStyle name="Bad" xfId="3" builtinId="27"/>
    <cellStyle name="Good" xfId="2" builtinId="26"/>
    <cellStyle name="Hyperlink" xfId="1" builtinId="8"/>
    <cellStyle name="Neutral" xfId="4"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modelavailability.com/tools/gpt-realtime-calculator" TargetMode="External"/><Relationship Id="rId1" Type="http://schemas.openxmlformats.org/officeDocument/2006/relationships/hyperlink" Target="https://novaaidesigner.github.io/azure-voice-live-calculator/?dau=1000&amp;turns=5&amp;inputAudio=10&amp;outputAudio=15&amp;inputText=2000&amp;model=gpt-4o-mini-realtime-preview&amp;avatar=standard&amp;textCache=50&amp;audioCache=5&amp;tts=neur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W75"/>
  <sheetViews>
    <sheetView tabSelected="1" workbookViewId="0">
      <selection activeCell="P61" sqref="P61"/>
    </sheetView>
  </sheetViews>
  <sheetFormatPr defaultColWidth="8.6328125" defaultRowHeight="15.5"/>
  <cols>
    <col min="1" max="1" width="36.453125" style="21" customWidth="1"/>
    <col min="2" max="2" width="52.453125" style="2" customWidth="1"/>
    <col min="3" max="3" width="9.453125" style="2" hidden="1" customWidth="1"/>
    <col min="4" max="4" width="10.36328125" style="3" hidden="1" customWidth="1"/>
    <col min="5" max="5" width="10.6328125" style="3" hidden="1" customWidth="1"/>
    <col min="6" max="6" width="12.453125" style="3" hidden="1" customWidth="1"/>
    <col min="7" max="7" width="13.36328125" style="3" hidden="1" customWidth="1"/>
    <col min="8" max="8" width="11.36328125" style="3" hidden="1" customWidth="1"/>
    <col min="9" max="9" width="11" style="3" hidden="1" customWidth="1"/>
    <col min="10" max="10" width="9.6328125" style="3" hidden="1" customWidth="1"/>
    <col min="11" max="11" width="11.36328125" style="3" hidden="1" customWidth="1"/>
    <col min="12" max="12" width="15" style="22" customWidth="1"/>
    <col min="13" max="13" width="52.08984375" style="18" hidden="1" customWidth="1"/>
    <col min="14" max="14" width="43.36328125" style="21" hidden="1" customWidth="1"/>
    <col min="15" max="15" width="36.6328125" style="2" customWidth="1"/>
    <col min="16" max="16" width="62.08984375" style="85" customWidth="1"/>
    <col min="17" max="17" width="1.453125" style="2" customWidth="1"/>
    <col min="18" max="18" width="55" customWidth="1"/>
    <col min="19" max="20" width="8.6328125" style="2"/>
    <col min="21" max="21" width="53.08984375" style="3" customWidth="1"/>
    <col min="22" max="22" width="8.6328125" style="2"/>
    <col min="23" max="23" width="25" style="2" customWidth="1"/>
    <col min="24" max="16384" width="8.6328125" style="2"/>
  </cols>
  <sheetData>
    <row r="2" spans="1:21" s="20" customFormat="1" ht="51" customHeight="1">
      <c r="A2" s="117" t="s">
        <v>0</v>
      </c>
      <c r="B2" s="118"/>
      <c r="C2" s="118"/>
      <c r="D2" s="118"/>
      <c r="E2" s="118"/>
      <c r="F2" s="118"/>
      <c r="G2" s="118"/>
      <c r="H2" s="118"/>
      <c r="I2" s="118"/>
      <c r="J2" s="118"/>
      <c r="K2" s="118"/>
      <c r="L2" s="118"/>
      <c r="M2" s="118"/>
      <c r="N2" s="118"/>
      <c r="O2" s="118"/>
      <c r="P2" s="118"/>
      <c r="Q2" s="118"/>
      <c r="U2" s="61"/>
    </row>
    <row r="3" spans="1:21" ht="87" customHeight="1">
      <c r="A3" s="111" t="s">
        <v>1</v>
      </c>
      <c r="B3" s="112"/>
      <c r="C3" s="112"/>
      <c r="D3" s="113"/>
      <c r="E3" s="113"/>
      <c r="F3" s="113"/>
      <c r="G3" s="113"/>
      <c r="H3" s="113"/>
      <c r="I3" s="113"/>
      <c r="J3" s="113"/>
      <c r="K3" s="113"/>
      <c r="L3" s="114"/>
      <c r="M3" s="115"/>
      <c r="N3" s="116"/>
      <c r="O3" s="112"/>
      <c r="P3" s="112"/>
      <c r="Q3" s="112"/>
    </row>
    <row r="4" spans="1:21" ht="45" customHeight="1">
      <c r="A4" s="1" t="s">
        <v>2</v>
      </c>
      <c r="B4" s="1" t="s">
        <v>3</v>
      </c>
      <c r="C4" s="59"/>
      <c r="D4" s="110" t="s">
        <v>4</v>
      </c>
      <c r="E4" s="109"/>
      <c r="F4" s="110" t="s">
        <v>5</v>
      </c>
      <c r="G4" s="109"/>
      <c r="H4" s="110" t="s">
        <v>6</v>
      </c>
      <c r="I4" s="109"/>
      <c r="J4" s="110" t="s">
        <v>7</v>
      </c>
      <c r="K4" s="109"/>
      <c r="L4" s="1" t="s">
        <v>8</v>
      </c>
      <c r="M4" s="86" t="s">
        <v>9</v>
      </c>
      <c r="N4" s="87" t="s">
        <v>10</v>
      </c>
      <c r="O4" s="1"/>
      <c r="P4" s="88" t="s">
        <v>335</v>
      </c>
      <c r="Q4" s="89"/>
      <c r="R4" s="90" t="s">
        <v>11</v>
      </c>
    </row>
    <row r="5" spans="1:21" ht="15.75" customHeight="1">
      <c r="A5" s="26"/>
      <c r="B5" s="6" t="s">
        <v>12</v>
      </c>
      <c r="C5" s="107"/>
      <c r="D5" s="108"/>
      <c r="E5" s="108"/>
      <c r="F5" s="108"/>
      <c r="G5" s="108"/>
      <c r="H5" s="108"/>
      <c r="I5" s="108"/>
      <c r="J5" s="108"/>
      <c r="K5" s="109"/>
      <c r="L5" s="6"/>
      <c r="M5" s="6"/>
      <c r="N5" s="6"/>
      <c r="O5" s="6"/>
      <c r="P5" s="91"/>
      <c r="R5" s="92"/>
    </row>
    <row r="6" spans="1:21" ht="50">
      <c r="A6" s="26" t="s">
        <v>13</v>
      </c>
      <c r="B6" s="4" t="s">
        <v>14</v>
      </c>
      <c r="D6" s="8"/>
      <c r="E6" s="9">
        <f>D15*C15</f>
        <v>0</v>
      </c>
      <c r="F6" s="8"/>
      <c r="G6" s="9">
        <f>F6*C15</f>
        <v>0</v>
      </c>
      <c r="H6" s="8"/>
      <c r="I6" s="9">
        <f>H6*C15</f>
        <v>0</v>
      </c>
      <c r="J6" s="8"/>
      <c r="K6" s="9">
        <f>J6*C15</f>
        <v>0</v>
      </c>
      <c r="L6" s="24" t="s">
        <v>15</v>
      </c>
      <c r="P6" s="105" t="s">
        <v>341</v>
      </c>
      <c r="R6" s="93" t="s">
        <v>16</v>
      </c>
    </row>
    <row r="7" spans="1:21" ht="43.5">
      <c r="A7" s="26" t="s">
        <v>13</v>
      </c>
      <c r="B7" s="4" t="s">
        <v>17</v>
      </c>
      <c r="D7" s="8"/>
      <c r="E7" s="9"/>
      <c r="F7" s="8"/>
      <c r="G7" s="9"/>
      <c r="H7" s="8"/>
      <c r="I7" s="9"/>
      <c r="J7" s="8"/>
      <c r="K7" s="9"/>
      <c r="L7" s="24" t="s">
        <v>15</v>
      </c>
      <c r="P7" s="105" t="s">
        <v>199</v>
      </c>
      <c r="R7" s="94" t="s">
        <v>18</v>
      </c>
    </row>
    <row r="8" spans="1:21" ht="25">
      <c r="A8" s="26" t="s">
        <v>13</v>
      </c>
      <c r="B8" s="4" t="s">
        <v>19</v>
      </c>
      <c r="D8" s="8"/>
      <c r="E8" s="9"/>
      <c r="F8" s="8"/>
      <c r="G8" s="9"/>
      <c r="H8" s="8"/>
      <c r="I8" s="9"/>
      <c r="J8" s="8"/>
      <c r="K8" s="9"/>
      <c r="L8" s="24" t="s">
        <v>15</v>
      </c>
      <c r="P8" s="105" t="s">
        <v>342</v>
      </c>
      <c r="R8" s="93" t="s">
        <v>20</v>
      </c>
    </row>
    <row r="9" spans="1:21" ht="50">
      <c r="A9" s="26" t="s">
        <v>13</v>
      </c>
      <c r="B9" s="4" t="s">
        <v>21</v>
      </c>
      <c r="D9" s="8"/>
      <c r="E9" s="9"/>
      <c r="F9" s="8"/>
      <c r="G9" s="9"/>
      <c r="H9" s="8"/>
      <c r="I9" s="9"/>
      <c r="J9" s="8"/>
      <c r="K9" s="9"/>
      <c r="L9" s="24" t="s">
        <v>15</v>
      </c>
      <c r="O9" s="3"/>
      <c r="P9" s="105" t="s">
        <v>343</v>
      </c>
      <c r="R9" s="94" t="s">
        <v>22</v>
      </c>
      <c r="U9" s="3" t="s">
        <v>197</v>
      </c>
    </row>
    <row r="10" spans="1:21" ht="43.5">
      <c r="A10" s="26" t="s">
        <v>13</v>
      </c>
      <c r="B10" s="4" t="s">
        <v>23</v>
      </c>
      <c r="D10" s="8"/>
      <c r="E10" s="9"/>
      <c r="F10" s="8"/>
      <c r="G10" s="9"/>
      <c r="H10" s="8"/>
      <c r="I10" s="9"/>
      <c r="J10" s="8"/>
      <c r="K10" s="9"/>
      <c r="L10" s="24" t="s">
        <v>15</v>
      </c>
      <c r="P10" s="105" t="s">
        <v>344</v>
      </c>
      <c r="R10" s="93" t="s">
        <v>24</v>
      </c>
    </row>
    <row r="11" spans="1:21" ht="37.5">
      <c r="A11" s="26" t="s">
        <v>13</v>
      </c>
      <c r="B11" s="4" t="s">
        <v>25</v>
      </c>
      <c r="D11" s="8"/>
      <c r="E11" s="9"/>
      <c r="F11" s="8"/>
      <c r="G11" s="9"/>
      <c r="H11" s="8"/>
      <c r="I11" s="9"/>
      <c r="J11" s="8"/>
      <c r="K11" s="9"/>
      <c r="L11" s="24" t="s">
        <v>15</v>
      </c>
      <c r="P11" s="105" t="s">
        <v>345</v>
      </c>
      <c r="R11" s="94" t="s">
        <v>26</v>
      </c>
    </row>
    <row r="12" spans="1:21" ht="58">
      <c r="A12" s="26" t="s">
        <v>13</v>
      </c>
      <c r="B12" s="4" t="s">
        <v>27</v>
      </c>
      <c r="D12" s="8"/>
      <c r="E12" s="9"/>
      <c r="F12" s="8"/>
      <c r="G12" s="9"/>
      <c r="H12" s="8"/>
      <c r="I12" s="9"/>
      <c r="J12" s="8"/>
      <c r="K12" s="9"/>
      <c r="L12" s="24" t="s">
        <v>15</v>
      </c>
      <c r="M12" s="18" t="s">
        <v>28</v>
      </c>
      <c r="N12" s="21" t="s">
        <v>29</v>
      </c>
      <c r="P12" s="106" t="s">
        <v>268</v>
      </c>
      <c r="R12" s="93" t="s">
        <v>30</v>
      </c>
    </row>
    <row r="13" spans="1:21">
      <c r="A13" s="26"/>
      <c r="B13" s="6" t="s">
        <v>31</v>
      </c>
      <c r="C13" s="107"/>
      <c r="D13" s="108"/>
      <c r="E13" s="108"/>
      <c r="F13" s="108"/>
      <c r="G13" s="108"/>
      <c r="H13" s="108"/>
      <c r="I13" s="108"/>
      <c r="J13" s="108"/>
      <c r="K13" s="109"/>
      <c r="L13" s="6"/>
      <c r="M13" s="6"/>
      <c r="N13" s="6"/>
      <c r="O13" s="6"/>
      <c r="P13" s="84"/>
      <c r="R13" s="92"/>
    </row>
    <row r="14" spans="1:21" ht="37.5">
      <c r="A14" s="26" t="s">
        <v>32</v>
      </c>
      <c r="B14" s="5" t="s">
        <v>33</v>
      </c>
      <c r="D14" s="8"/>
      <c r="E14" s="9">
        <f>D13*C13</f>
        <v>0</v>
      </c>
      <c r="F14" s="8"/>
      <c r="G14" s="9">
        <f>F14*C13</f>
        <v>0</v>
      </c>
      <c r="H14" s="8"/>
      <c r="I14" s="9">
        <f>H14*C13</f>
        <v>0</v>
      </c>
      <c r="J14" s="8"/>
      <c r="K14" s="9">
        <f>J14*C13</f>
        <v>0</v>
      </c>
      <c r="L14" s="24" t="s">
        <v>15</v>
      </c>
      <c r="P14" s="105" t="s">
        <v>346</v>
      </c>
      <c r="R14" s="93" t="s">
        <v>34</v>
      </c>
    </row>
    <row r="15" spans="1:21" ht="87">
      <c r="A15" s="26" t="s">
        <v>32</v>
      </c>
      <c r="B15" s="4" t="s">
        <v>35</v>
      </c>
      <c r="D15" s="8"/>
      <c r="E15" s="9"/>
      <c r="F15" s="8"/>
      <c r="G15" s="9"/>
      <c r="H15" s="8"/>
      <c r="I15" s="9"/>
      <c r="J15" s="8"/>
      <c r="K15" s="9"/>
      <c r="L15" s="24" t="s">
        <v>15</v>
      </c>
      <c r="M15" s="18" t="s">
        <v>36</v>
      </c>
      <c r="N15" s="21" t="s">
        <v>37</v>
      </c>
      <c r="O15" s="12" t="s">
        <v>38</v>
      </c>
      <c r="P15" s="105" t="s">
        <v>336</v>
      </c>
      <c r="R15" s="94" t="s">
        <v>39</v>
      </c>
    </row>
    <row r="16" spans="1:21" ht="72.5">
      <c r="A16" s="26" t="s">
        <v>32</v>
      </c>
      <c r="B16" s="4" t="s">
        <v>40</v>
      </c>
      <c r="D16" s="8"/>
      <c r="E16" s="9"/>
      <c r="F16" s="8"/>
      <c r="G16" s="9"/>
      <c r="H16" s="8"/>
      <c r="I16" s="9"/>
      <c r="J16" s="8"/>
      <c r="K16" s="9"/>
      <c r="L16" s="24" t="s">
        <v>15</v>
      </c>
      <c r="P16" s="105" t="s">
        <v>337</v>
      </c>
      <c r="R16" s="93" t="s">
        <v>41</v>
      </c>
    </row>
    <row r="17" spans="1:21" ht="43.5">
      <c r="A17" s="26" t="s">
        <v>32</v>
      </c>
      <c r="B17" s="4" t="s">
        <v>42</v>
      </c>
      <c r="D17" s="8"/>
      <c r="E17" s="9"/>
      <c r="F17" s="8"/>
      <c r="G17" s="9"/>
      <c r="H17" s="8"/>
      <c r="I17" s="9"/>
      <c r="J17" s="8"/>
      <c r="K17" s="9"/>
      <c r="L17" s="24" t="s">
        <v>15</v>
      </c>
      <c r="P17" s="105" t="s">
        <v>347</v>
      </c>
      <c r="R17" s="94" t="s">
        <v>43</v>
      </c>
    </row>
    <row r="18" spans="1:21" ht="108.5">
      <c r="A18" s="26" t="s">
        <v>32</v>
      </c>
      <c r="B18" s="4" t="s">
        <v>44</v>
      </c>
      <c r="D18" s="8"/>
      <c r="E18" s="9"/>
      <c r="F18" s="8"/>
      <c r="G18" s="9"/>
      <c r="H18" s="8"/>
      <c r="I18" s="9"/>
      <c r="J18" s="8"/>
      <c r="K18" s="9"/>
      <c r="L18" s="24" t="s">
        <v>45</v>
      </c>
      <c r="M18" s="18" t="s">
        <v>46</v>
      </c>
      <c r="N18" s="21" t="s">
        <v>47</v>
      </c>
      <c r="P18" s="105" t="s">
        <v>348</v>
      </c>
      <c r="R18" s="93" t="s">
        <v>48</v>
      </c>
    </row>
    <row r="19" spans="1:21" s="7" customFormat="1" ht="15.75" customHeight="1">
      <c r="A19" s="27"/>
      <c r="B19" s="6" t="s">
        <v>49</v>
      </c>
      <c r="C19" s="107"/>
      <c r="D19" s="108"/>
      <c r="E19" s="108"/>
      <c r="F19" s="108"/>
      <c r="G19" s="108"/>
      <c r="H19" s="108"/>
      <c r="I19" s="108"/>
      <c r="J19" s="108"/>
      <c r="K19" s="109"/>
      <c r="L19" s="6"/>
      <c r="M19" s="6"/>
      <c r="N19" s="6"/>
      <c r="O19" s="6"/>
      <c r="P19" s="84"/>
      <c r="R19" s="92"/>
      <c r="U19" s="12"/>
    </row>
    <row r="20" spans="1:21" s="7" customFormat="1" ht="45" customHeight="1">
      <c r="A20" s="26" t="s">
        <v>50</v>
      </c>
      <c r="B20" s="4" t="s">
        <v>51</v>
      </c>
      <c r="D20" s="10"/>
      <c r="E20" s="11"/>
      <c r="F20" s="10"/>
      <c r="G20" s="11"/>
      <c r="H20" s="10"/>
      <c r="I20" s="11"/>
      <c r="J20" s="10"/>
      <c r="K20" s="11"/>
      <c r="L20" s="24" t="s">
        <v>45</v>
      </c>
      <c r="M20" s="18" t="s">
        <v>52</v>
      </c>
      <c r="N20" s="21" t="s">
        <v>37</v>
      </c>
      <c r="P20" s="95" t="s">
        <v>263</v>
      </c>
      <c r="R20" s="93" t="s">
        <v>53</v>
      </c>
      <c r="U20" s="12"/>
    </row>
    <row r="21" spans="1:21" s="7" customFormat="1" ht="78.75" customHeight="1">
      <c r="A21" s="26" t="s">
        <v>50</v>
      </c>
      <c r="B21" s="4" t="s">
        <v>54</v>
      </c>
      <c r="D21" s="10"/>
      <c r="E21" s="11"/>
      <c r="F21" s="10"/>
      <c r="G21" s="11"/>
      <c r="H21" s="10"/>
      <c r="I21" s="11"/>
      <c r="J21" s="10"/>
      <c r="K21" s="11"/>
      <c r="L21" s="24" t="s">
        <v>45</v>
      </c>
      <c r="M21" s="18" t="s">
        <v>55</v>
      </c>
      <c r="N21" s="21" t="s">
        <v>37</v>
      </c>
      <c r="O21" s="96" t="s">
        <v>56</v>
      </c>
      <c r="P21" s="95" t="s">
        <v>263</v>
      </c>
      <c r="R21" s="94" t="s">
        <v>57</v>
      </c>
      <c r="U21" s="12"/>
    </row>
    <row r="22" spans="1:21" s="7" customFormat="1">
      <c r="A22" s="27"/>
      <c r="B22" s="6" t="s">
        <v>58</v>
      </c>
      <c r="C22" s="107"/>
      <c r="D22" s="108"/>
      <c r="E22" s="108"/>
      <c r="F22" s="108"/>
      <c r="G22" s="108"/>
      <c r="H22" s="108"/>
      <c r="I22" s="108"/>
      <c r="J22" s="108"/>
      <c r="K22" s="109"/>
      <c r="L22" s="6"/>
      <c r="M22" s="6"/>
      <c r="N22" s="6"/>
      <c r="O22" s="6"/>
      <c r="P22" s="84"/>
      <c r="R22" s="92"/>
      <c r="U22" s="12"/>
    </row>
    <row r="23" spans="1:21" s="7" customFormat="1" ht="87">
      <c r="A23" s="26" t="s">
        <v>59</v>
      </c>
      <c r="B23" s="19" t="s">
        <v>60</v>
      </c>
      <c r="D23" s="10"/>
      <c r="E23" s="11"/>
      <c r="F23" s="10"/>
      <c r="G23" s="11"/>
      <c r="H23" s="10"/>
      <c r="I23" s="11"/>
      <c r="J23" s="10"/>
      <c r="K23" s="11"/>
      <c r="L23" s="24" t="s">
        <v>15</v>
      </c>
      <c r="M23" s="18"/>
      <c r="N23" s="21"/>
      <c r="P23" s="105" t="s">
        <v>349</v>
      </c>
      <c r="R23" s="94" t="s">
        <v>61</v>
      </c>
      <c r="U23" s="12"/>
    </row>
    <row r="24" spans="1:21" s="7" customFormat="1" ht="37.5">
      <c r="A24" s="26" t="s">
        <v>59</v>
      </c>
      <c r="B24" s="4" t="s">
        <v>62</v>
      </c>
      <c r="D24" s="10"/>
      <c r="E24" s="11"/>
      <c r="F24" s="10"/>
      <c r="G24" s="11"/>
      <c r="H24" s="10"/>
      <c r="I24" s="11"/>
      <c r="J24" s="10"/>
      <c r="K24" s="11"/>
      <c r="L24" s="24" t="s">
        <v>15</v>
      </c>
      <c r="M24" s="18"/>
      <c r="N24" s="21"/>
      <c r="P24" s="98" t="s">
        <v>350</v>
      </c>
      <c r="R24" s="93" t="s">
        <v>63</v>
      </c>
      <c r="U24" s="12"/>
    </row>
    <row r="25" spans="1:21" s="7" customFormat="1" ht="43.5">
      <c r="A25" s="26" t="s">
        <v>59</v>
      </c>
      <c r="B25" s="4" t="s">
        <v>64</v>
      </c>
      <c r="D25" s="10"/>
      <c r="E25" s="11"/>
      <c r="F25" s="10"/>
      <c r="G25" s="11"/>
      <c r="H25" s="10"/>
      <c r="I25" s="11"/>
      <c r="J25" s="10"/>
      <c r="K25" s="11"/>
      <c r="L25" s="24"/>
      <c r="M25" s="18" t="s">
        <v>65</v>
      </c>
      <c r="N25" s="21" t="s">
        <v>66</v>
      </c>
      <c r="P25" s="105" t="s">
        <v>351</v>
      </c>
      <c r="R25" s="94" t="s">
        <v>67</v>
      </c>
      <c r="U25" s="12"/>
    </row>
    <row r="26" spans="1:21" s="7" customFormat="1" ht="46.5">
      <c r="A26" s="26" t="s">
        <v>59</v>
      </c>
      <c r="B26" s="19" t="s">
        <v>200</v>
      </c>
      <c r="D26" s="12"/>
      <c r="E26" s="12"/>
      <c r="F26" s="12"/>
      <c r="G26" s="12"/>
      <c r="H26" s="12"/>
      <c r="I26" s="12"/>
      <c r="J26" s="12"/>
      <c r="K26" s="11"/>
      <c r="L26" s="24"/>
      <c r="M26" s="18"/>
      <c r="N26" s="21"/>
      <c r="P26" s="98" t="s">
        <v>338</v>
      </c>
      <c r="R26" s="93" t="s">
        <v>68</v>
      </c>
      <c r="U26" s="12"/>
    </row>
    <row r="27" spans="1:21" s="7" customFormat="1">
      <c r="A27" s="27"/>
      <c r="B27" s="6" t="s">
        <v>69</v>
      </c>
      <c r="C27" s="107"/>
      <c r="D27" s="108"/>
      <c r="E27" s="108"/>
      <c r="F27" s="108"/>
      <c r="G27" s="108"/>
      <c r="H27" s="108"/>
      <c r="I27" s="108"/>
      <c r="J27" s="108"/>
      <c r="K27" s="109"/>
      <c r="L27" s="6"/>
      <c r="M27" s="6"/>
      <c r="N27" s="6"/>
      <c r="O27" s="6"/>
      <c r="P27" s="84"/>
      <c r="R27" s="92"/>
      <c r="U27" s="12"/>
    </row>
    <row r="28" spans="1:21" s="7" customFormat="1" ht="37.5">
      <c r="A28" s="26" t="s">
        <v>70</v>
      </c>
      <c r="B28" s="4" t="s">
        <v>71</v>
      </c>
      <c r="D28" s="10"/>
      <c r="E28" s="11"/>
      <c r="F28" s="10"/>
      <c r="G28" s="11"/>
      <c r="H28" s="10"/>
      <c r="I28" s="11"/>
      <c r="J28" s="10"/>
      <c r="K28" s="11"/>
      <c r="L28" s="24" t="s">
        <v>15</v>
      </c>
      <c r="M28" s="18" t="s">
        <v>72</v>
      </c>
      <c r="N28" s="21"/>
      <c r="P28" s="98" t="s">
        <v>339</v>
      </c>
      <c r="R28" s="93" t="s">
        <v>73</v>
      </c>
      <c r="U28" s="12"/>
    </row>
    <row r="29" spans="1:21" s="7" customFormat="1" ht="93">
      <c r="A29" s="26" t="s">
        <v>70</v>
      </c>
      <c r="B29" s="19" t="s">
        <v>74</v>
      </c>
      <c r="D29" s="10"/>
      <c r="E29" s="11"/>
      <c r="F29" s="10"/>
      <c r="G29" s="11"/>
      <c r="H29" s="10"/>
      <c r="I29" s="11"/>
      <c r="J29" s="10"/>
      <c r="K29" s="11"/>
      <c r="L29" s="24" t="s">
        <v>15</v>
      </c>
      <c r="M29" s="18" t="s">
        <v>75</v>
      </c>
      <c r="N29" s="21" t="s">
        <v>76</v>
      </c>
      <c r="P29" s="105" t="s">
        <v>262</v>
      </c>
      <c r="R29" s="94" t="s">
        <v>77</v>
      </c>
      <c r="U29" s="12"/>
    </row>
    <row r="30" spans="1:21" s="7" customFormat="1" ht="37.5">
      <c r="A30" s="26" t="s">
        <v>70</v>
      </c>
      <c r="B30" s="4" t="s">
        <v>78</v>
      </c>
      <c r="D30" s="10"/>
      <c r="E30" s="11"/>
      <c r="F30" s="10"/>
      <c r="G30" s="11"/>
      <c r="H30" s="10"/>
      <c r="I30" s="11"/>
      <c r="J30" s="10"/>
      <c r="K30" s="11"/>
      <c r="L30" s="24" t="s">
        <v>15</v>
      </c>
      <c r="M30" s="18" t="s">
        <v>79</v>
      </c>
      <c r="N30" s="21"/>
      <c r="P30" s="97" t="s">
        <v>264</v>
      </c>
      <c r="R30" s="93" t="s">
        <v>80</v>
      </c>
      <c r="U30" s="12"/>
    </row>
    <row r="31" spans="1:21" s="7" customFormat="1" ht="37.5">
      <c r="A31" s="26" t="s">
        <v>70</v>
      </c>
      <c r="B31" s="4" t="s">
        <v>81</v>
      </c>
      <c r="D31" s="10"/>
      <c r="E31" s="11"/>
      <c r="F31" s="10"/>
      <c r="G31" s="11"/>
      <c r="H31" s="10"/>
      <c r="I31" s="11"/>
      <c r="J31" s="10"/>
      <c r="K31" s="11"/>
      <c r="L31" s="24" t="s">
        <v>15</v>
      </c>
      <c r="M31" s="18" t="s">
        <v>82</v>
      </c>
      <c r="N31" s="21" t="s">
        <v>83</v>
      </c>
      <c r="P31" s="97" t="s">
        <v>261</v>
      </c>
      <c r="R31" s="94" t="s">
        <v>84</v>
      </c>
      <c r="U31" s="12"/>
    </row>
    <row r="32" spans="1:21" s="7" customFormat="1">
      <c r="A32" s="27"/>
      <c r="B32" s="6" t="s">
        <v>85</v>
      </c>
      <c r="C32" s="107"/>
      <c r="D32" s="108"/>
      <c r="E32" s="108"/>
      <c r="F32" s="108"/>
      <c r="G32" s="108"/>
      <c r="H32" s="108"/>
      <c r="I32" s="108"/>
      <c r="J32" s="108"/>
      <c r="K32" s="109"/>
      <c r="L32" s="6"/>
      <c r="M32" s="6"/>
      <c r="N32" s="6"/>
      <c r="O32" s="6"/>
      <c r="P32" s="84"/>
      <c r="R32" s="92"/>
      <c r="U32" s="12"/>
    </row>
    <row r="33" spans="1:21" s="7" customFormat="1" ht="93">
      <c r="A33" s="26" t="s">
        <v>86</v>
      </c>
      <c r="B33" s="4" t="s">
        <v>87</v>
      </c>
      <c r="C33" s="13"/>
      <c r="D33" s="12"/>
      <c r="E33" s="60"/>
      <c r="F33" s="12"/>
      <c r="G33" s="60"/>
      <c r="H33" s="12"/>
      <c r="I33" s="60"/>
      <c r="J33" s="12"/>
      <c r="K33" s="11"/>
      <c r="L33" s="24" t="s">
        <v>15</v>
      </c>
      <c r="M33" s="18" t="s">
        <v>88</v>
      </c>
      <c r="N33" s="21" t="s">
        <v>83</v>
      </c>
      <c r="O33" s="96" t="s">
        <v>89</v>
      </c>
      <c r="P33" s="97" t="s">
        <v>261</v>
      </c>
      <c r="R33" s="94" t="s">
        <v>90</v>
      </c>
      <c r="U33" s="12"/>
    </row>
    <row r="34" spans="1:21" s="7" customFormat="1" ht="50">
      <c r="A34" s="26" t="s">
        <v>86</v>
      </c>
      <c r="B34" s="4" t="s">
        <v>91</v>
      </c>
      <c r="C34" s="14"/>
      <c r="D34" s="12"/>
      <c r="E34" s="15"/>
      <c r="F34" s="12"/>
      <c r="G34" s="15"/>
      <c r="H34" s="12"/>
      <c r="I34" s="15"/>
      <c r="J34" s="12"/>
      <c r="K34" s="11"/>
      <c r="L34" s="24"/>
      <c r="M34" s="18"/>
      <c r="N34" s="21"/>
      <c r="P34" s="98" t="s">
        <v>265</v>
      </c>
      <c r="R34" s="93" t="s">
        <v>92</v>
      </c>
      <c r="U34" s="12"/>
    </row>
    <row r="35" spans="1:21" s="7" customFormat="1" ht="43.5">
      <c r="A35" s="26" t="s">
        <v>86</v>
      </c>
      <c r="B35" s="19" t="s">
        <v>93</v>
      </c>
      <c r="C35" s="32"/>
      <c r="D35" s="12"/>
      <c r="E35" s="33"/>
      <c r="F35" s="12"/>
      <c r="G35" s="33"/>
      <c r="H35" s="12"/>
      <c r="I35" s="33"/>
      <c r="J35" s="12"/>
      <c r="K35" s="11"/>
      <c r="L35" s="24"/>
      <c r="M35" s="18"/>
      <c r="N35" s="21"/>
      <c r="P35" s="105" t="s">
        <v>201</v>
      </c>
      <c r="R35" s="94" t="s">
        <v>94</v>
      </c>
      <c r="U35" s="12"/>
    </row>
    <row r="36" spans="1:21" s="7" customFormat="1">
      <c r="A36" s="27"/>
      <c r="B36" s="6" t="s">
        <v>95</v>
      </c>
      <c r="C36" s="107"/>
      <c r="D36" s="108"/>
      <c r="E36" s="108"/>
      <c r="F36" s="108"/>
      <c r="G36" s="108"/>
      <c r="H36" s="108"/>
      <c r="I36" s="108"/>
      <c r="J36" s="108"/>
      <c r="K36" s="109"/>
      <c r="L36" s="6"/>
      <c r="M36" s="6"/>
      <c r="N36" s="6"/>
      <c r="O36" s="6"/>
      <c r="P36" s="84"/>
      <c r="R36" s="92"/>
      <c r="U36" s="12"/>
    </row>
    <row r="37" spans="1:21" s="7" customFormat="1" ht="50">
      <c r="A37" s="26" t="s">
        <v>96</v>
      </c>
      <c r="B37" s="19" t="s">
        <v>97</v>
      </c>
      <c r="D37" s="10"/>
      <c r="E37" s="11"/>
      <c r="F37" s="10"/>
      <c r="G37" s="11"/>
      <c r="H37" s="10"/>
      <c r="I37" s="11"/>
      <c r="J37" s="10"/>
      <c r="K37" s="11"/>
      <c r="L37" s="24" t="s">
        <v>15</v>
      </c>
      <c r="M37" s="18" t="s">
        <v>98</v>
      </c>
      <c r="N37" s="21" t="s">
        <v>99</v>
      </c>
      <c r="P37" s="98" t="s">
        <v>265</v>
      </c>
      <c r="R37" s="94" t="s">
        <v>100</v>
      </c>
      <c r="U37" s="12"/>
    </row>
    <row r="38" spans="1:21" s="7" customFormat="1" ht="37.5">
      <c r="A38" s="26" t="s">
        <v>96</v>
      </c>
      <c r="B38" s="4" t="s">
        <v>101</v>
      </c>
      <c r="D38" s="10"/>
      <c r="E38" s="11"/>
      <c r="F38" s="10"/>
      <c r="G38" s="11"/>
      <c r="H38" s="10"/>
      <c r="I38" s="11"/>
      <c r="J38" s="10"/>
      <c r="K38" s="11"/>
      <c r="L38" s="24"/>
      <c r="M38" s="18" t="s">
        <v>102</v>
      </c>
      <c r="N38" s="21"/>
      <c r="P38" s="98" t="s">
        <v>265</v>
      </c>
      <c r="R38" s="93" t="s">
        <v>103</v>
      </c>
      <c r="U38" s="12"/>
    </row>
    <row r="39" spans="1:21" s="7" customFormat="1" ht="37.5">
      <c r="A39" s="26" t="s">
        <v>96</v>
      </c>
      <c r="B39" s="4" t="s">
        <v>104</v>
      </c>
      <c r="D39" s="10"/>
      <c r="E39" s="11"/>
      <c r="F39" s="10"/>
      <c r="G39" s="11"/>
      <c r="H39" s="10"/>
      <c r="I39" s="11"/>
      <c r="J39" s="10"/>
      <c r="K39" s="11"/>
      <c r="L39" s="24"/>
      <c r="M39" s="18" t="s">
        <v>102</v>
      </c>
      <c r="N39" s="21"/>
      <c r="P39" s="98" t="s">
        <v>265</v>
      </c>
      <c r="R39" s="94" t="s">
        <v>105</v>
      </c>
      <c r="U39" s="12"/>
    </row>
    <row r="40" spans="1:21" s="7" customFormat="1" ht="37.5">
      <c r="A40" s="26" t="s">
        <v>96</v>
      </c>
      <c r="B40" s="4" t="s">
        <v>106</v>
      </c>
      <c r="D40" s="10"/>
      <c r="E40" s="11"/>
      <c r="F40" s="10"/>
      <c r="G40" s="11"/>
      <c r="H40" s="10"/>
      <c r="I40" s="11"/>
      <c r="J40" s="10"/>
      <c r="K40" s="11"/>
      <c r="L40" s="24"/>
      <c r="M40" s="18" t="s">
        <v>102</v>
      </c>
      <c r="N40" s="21"/>
      <c r="P40" s="98" t="s">
        <v>265</v>
      </c>
      <c r="R40" s="93" t="s">
        <v>107</v>
      </c>
      <c r="U40" s="12"/>
    </row>
    <row r="41" spans="1:21" s="7" customFormat="1" ht="50">
      <c r="A41" s="26" t="s">
        <v>96</v>
      </c>
      <c r="B41" s="4" t="s">
        <v>108</v>
      </c>
      <c r="D41" s="10"/>
      <c r="E41" s="11"/>
      <c r="F41" s="10"/>
      <c r="G41" s="11"/>
      <c r="H41" s="10"/>
      <c r="I41" s="11"/>
      <c r="J41" s="10"/>
      <c r="K41" s="11"/>
      <c r="L41" s="24" t="s">
        <v>109</v>
      </c>
      <c r="M41" s="18" t="s">
        <v>110</v>
      </c>
      <c r="N41" s="21" t="s">
        <v>111</v>
      </c>
      <c r="P41" s="98" t="s">
        <v>265</v>
      </c>
      <c r="R41" s="94" t="s">
        <v>112</v>
      </c>
      <c r="U41" s="12"/>
    </row>
    <row r="42" spans="1:21" s="7" customFormat="1" ht="46.5">
      <c r="A42" s="26" t="s">
        <v>96</v>
      </c>
      <c r="B42" s="4" t="s">
        <v>113</v>
      </c>
      <c r="D42" s="10"/>
      <c r="E42" s="11"/>
      <c r="F42" s="10"/>
      <c r="G42" s="11"/>
      <c r="H42" s="10"/>
      <c r="I42" s="11"/>
      <c r="J42" s="10"/>
      <c r="K42" s="11"/>
      <c r="L42" s="24" t="s">
        <v>114</v>
      </c>
      <c r="M42" s="18" t="s">
        <v>115</v>
      </c>
      <c r="N42" s="21" t="s">
        <v>116</v>
      </c>
      <c r="O42" s="96" t="s">
        <v>117</v>
      </c>
      <c r="P42" s="98" t="s">
        <v>265</v>
      </c>
      <c r="R42" s="93" t="s">
        <v>118</v>
      </c>
      <c r="U42" s="12"/>
    </row>
    <row r="43" spans="1:21" s="7" customFormat="1" ht="93">
      <c r="A43" s="26" t="s">
        <v>96</v>
      </c>
      <c r="B43" s="23" t="s">
        <v>119</v>
      </c>
      <c r="D43" s="10"/>
      <c r="E43" s="11"/>
      <c r="F43" s="10"/>
      <c r="G43" s="11"/>
      <c r="H43" s="10"/>
      <c r="I43" s="11"/>
      <c r="J43" s="10"/>
      <c r="K43" s="11"/>
      <c r="L43" s="24"/>
      <c r="M43" s="18" t="s">
        <v>120</v>
      </c>
      <c r="N43" s="21" t="s">
        <v>37</v>
      </c>
      <c r="P43" s="98" t="s">
        <v>265</v>
      </c>
      <c r="R43" s="94" t="s">
        <v>121</v>
      </c>
      <c r="U43" s="12"/>
    </row>
    <row r="44" spans="1:21">
      <c r="A44" s="26"/>
      <c r="B44" s="6" t="s">
        <v>122</v>
      </c>
      <c r="C44" s="107"/>
      <c r="D44" s="108"/>
      <c r="E44" s="108"/>
      <c r="F44" s="108"/>
      <c r="G44" s="108"/>
      <c r="H44" s="108"/>
      <c r="I44" s="108"/>
      <c r="J44" s="108"/>
      <c r="K44" s="109"/>
      <c r="L44" s="6"/>
      <c r="M44" s="6"/>
      <c r="N44" s="6"/>
      <c r="O44" s="6"/>
      <c r="P44" s="84"/>
      <c r="R44" s="92"/>
    </row>
    <row r="45" spans="1:21" ht="93">
      <c r="A45" s="26" t="s">
        <v>123</v>
      </c>
      <c r="B45" s="19" t="s">
        <v>124</v>
      </c>
      <c r="D45" s="8"/>
      <c r="E45" s="9"/>
      <c r="F45" s="8"/>
      <c r="G45" s="9"/>
      <c r="H45" s="8"/>
      <c r="I45" s="9"/>
      <c r="J45" s="8"/>
      <c r="K45" s="9"/>
      <c r="L45" s="24"/>
      <c r="M45" s="18" t="s">
        <v>125</v>
      </c>
      <c r="N45" s="21" t="s">
        <v>126</v>
      </c>
      <c r="P45" s="98" t="s">
        <v>265</v>
      </c>
      <c r="R45" s="94" t="s">
        <v>127</v>
      </c>
    </row>
    <row r="46" spans="1:21" ht="62">
      <c r="A46" s="26" t="s">
        <v>123</v>
      </c>
      <c r="B46" s="19" t="s">
        <v>128</v>
      </c>
      <c r="D46" s="8"/>
      <c r="E46" s="9"/>
      <c r="F46" s="8"/>
      <c r="G46" s="9"/>
      <c r="H46" s="8"/>
      <c r="I46" s="9"/>
      <c r="J46" s="8"/>
      <c r="K46" s="9"/>
      <c r="L46" s="24"/>
      <c r="M46" s="18" t="s">
        <v>129</v>
      </c>
      <c r="N46" s="21" t="s">
        <v>130</v>
      </c>
      <c r="P46" s="98" t="s">
        <v>265</v>
      </c>
      <c r="R46" s="93" t="s">
        <v>131</v>
      </c>
    </row>
    <row r="47" spans="1:21">
      <c r="A47" s="26"/>
      <c r="B47" s="6" t="s">
        <v>132</v>
      </c>
      <c r="C47" s="107"/>
      <c r="D47" s="108"/>
      <c r="E47" s="108"/>
      <c r="F47" s="108"/>
      <c r="G47" s="108"/>
      <c r="H47" s="108"/>
      <c r="I47" s="108"/>
      <c r="J47" s="108"/>
      <c r="K47" s="109"/>
      <c r="L47" s="6"/>
      <c r="M47" s="6"/>
      <c r="N47" s="6"/>
      <c r="O47" s="6"/>
      <c r="P47" s="84"/>
      <c r="R47" s="92"/>
    </row>
    <row r="48" spans="1:21" ht="50">
      <c r="A48" s="26" t="s">
        <v>133</v>
      </c>
      <c r="B48" s="4" t="s">
        <v>134</v>
      </c>
      <c r="D48" s="8"/>
      <c r="E48" s="9">
        <f>D48*C48</f>
        <v>0</v>
      </c>
      <c r="F48" s="8"/>
      <c r="G48" s="9">
        <f>F48*C48</f>
        <v>0</v>
      </c>
      <c r="H48" s="8"/>
      <c r="I48" s="9">
        <f>H48*C48</f>
        <v>0</v>
      </c>
      <c r="J48" s="8"/>
      <c r="K48" s="9">
        <f>J48*C48</f>
        <v>0</v>
      </c>
      <c r="L48" s="24" t="s">
        <v>15</v>
      </c>
      <c r="P48" s="99" t="s">
        <v>266</v>
      </c>
      <c r="R48" s="93" t="s">
        <v>135</v>
      </c>
    </row>
    <row r="49" spans="1:23" ht="37.5">
      <c r="A49" s="26" t="s">
        <v>133</v>
      </c>
      <c r="B49" s="4" t="s">
        <v>136</v>
      </c>
      <c r="D49" s="8"/>
      <c r="E49" s="9"/>
      <c r="F49" s="8"/>
      <c r="G49" s="9"/>
      <c r="H49" s="8"/>
      <c r="I49" s="9"/>
      <c r="J49" s="8"/>
      <c r="K49" s="9"/>
      <c r="L49" s="24"/>
      <c r="M49" s="18" t="s">
        <v>137</v>
      </c>
      <c r="N49" s="21" t="s">
        <v>138</v>
      </c>
      <c r="P49" s="99" t="s">
        <v>266</v>
      </c>
      <c r="R49" s="94" t="s">
        <v>139</v>
      </c>
    </row>
    <row r="50" spans="1:23" ht="37.5">
      <c r="A50" s="26" t="s">
        <v>133</v>
      </c>
      <c r="B50" s="4" t="s">
        <v>140</v>
      </c>
      <c r="D50" s="8"/>
      <c r="E50" s="9"/>
      <c r="F50" s="8"/>
      <c r="G50" s="9"/>
      <c r="H50" s="8"/>
      <c r="I50" s="9"/>
      <c r="J50" s="8"/>
      <c r="K50" s="9"/>
      <c r="L50" s="24" t="s">
        <v>141</v>
      </c>
      <c r="P50" s="99" t="s">
        <v>266</v>
      </c>
      <c r="R50" s="93" t="s">
        <v>142</v>
      </c>
    </row>
    <row r="51" spans="1:23" ht="37.5">
      <c r="A51" s="26" t="s">
        <v>133</v>
      </c>
      <c r="B51" s="4" t="s">
        <v>143</v>
      </c>
      <c r="D51" s="8"/>
      <c r="E51" s="9"/>
      <c r="F51" s="8"/>
      <c r="G51" s="9"/>
      <c r="H51" s="8"/>
      <c r="I51" s="9"/>
      <c r="J51" s="8"/>
      <c r="K51" s="9"/>
      <c r="L51" s="24" t="s">
        <v>15</v>
      </c>
      <c r="P51" s="99" t="s">
        <v>266</v>
      </c>
      <c r="R51" s="94" t="s">
        <v>144</v>
      </c>
    </row>
    <row r="52" spans="1:23" ht="37.5">
      <c r="A52" s="26" t="s">
        <v>133</v>
      </c>
      <c r="B52" s="4" t="s">
        <v>145</v>
      </c>
      <c r="D52" s="8"/>
      <c r="E52" s="9"/>
      <c r="F52" s="8"/>
      <c r="G52" s="9"/>
      <c r="H52" s="8"/>
      <c r="I52" s="9"/>
      <c r="J52" s="8"/>
      <c r="K52" s="9"/>
      <c r="L52" s="24" t="s">
        <v>15</v>
      </c>
      <c r="P52" s="99" t="s">
        <v>266</v>
      </c>
      <c r="R52" s="93" t="s">
        <v>146</v>
      </c>
    </row>
    <row r="53" spans="1:23" ht="37.5">
      <c r="A53" s="26" t="s">
        <v>133</v>
      </c>
      <c r="B53" s="4" t="s">
        <v>147</v>
      </c>
      <c r="D53" s="8"/>
      <c r="E53" s="9"/>
      <c r="F53" s="8"/>
      <c r="G53" s="9"/>
      <c r="H53" s="8"/>
      <c r="I53" s="9"/>
      <c r="J53" s="8"/>
      <c r="K53" s="9"/>
      <c r="L53" s="24" t="s">
        <v>15</v>
      </c>
      <c r="P53" s="99" t="s">
        <v>266</v>
      </c>
      <c r="R53" s="94" t="s">
        <v>148</v>
      </c>
    </row>
    <row r="54" spans="1:23" ht="37.5">
      <c r="A54" s="26" t="s">
        <v>133</v>
      </c>
      <c r="B54" s="4" t="s">
        <v>149</v>
      </c>
      <c r="C54" s="16"/>
      <c r="E54" s="17"/>
      <c r="G54" s="17"/>
      <c r="I54" s="17"/>
      <c r="K54" s="9"/>
      <c r="L54" s="24" t="s">
        <v>15</v>
      </c>
      <c r="P54" s="99" t="s">
        <v>266</v>
      </c>
      <c r="R54" s="93" t="s">
        <v>150</v>
      </c>
    </row>
    <row r="55" spans="1:23">
      <c r="A55" s="26"/>
      <c r="B55" s="6" t="s">
        <v>151</v>
      </c>
      <c r="C55" s="107"/>
      <c r="D55" s="108"/>
      <c r="E55" s="108"/>
      <c r="F55" s="108"/>
      <c r="G55" s="108"/>
      <c r="H55" s="108"/>
      <c r="I55" s="108"/>
      <c r="J55" s="108"/>
      <c r="K55" s="109"/>
      <c r="L55" s="6"/>
      <c r="M55" s="6"/>
      <c r="N55" s="6"/>
      <c r="O55" s="6"/>
      <c r="P55" s="84"/>
      <c r="R55" s="92"/>
    </row>
    <row r="56" spans="1:23" ht="37.5">
      <c r="A56" s="26" t="s">
        <v>152</v>
      </c>
      <c r="B56" s="4" t="s">
        <v>153</v>
      </c>
      <c r="D56" s="8"/>
      <c r="E56" s="9">
        <f>D56*C56</f>
        <v>0</v>
      </c>
      <c r="F56" s="8"/>
      <c r="G56" s="9">
        <f>F56*C56</f>
        <v>0</v>
      </c>
      <c r="H56" s="8"/>
      <c r="I56" s="9">
        <f>H56*C56</f>
        <v>0</v>
      </c>
      <c r="J56" s="8"/>
      <c r="K56" s="9">
        <f>J56*C56</f>
        <v>0</v>
      </c>
      <c r="L56" s="24"/>
      <c r="P56" s="97" t="s">
        <v>267</v>
      </c>
      <c r="R56" s="93" t="s">
        <v>154</v>
      </c>
    </row>
    <row r="57" spans="1:23" ht="37.5">
      <c r="A57" s="26" t="s">
        <v>152</v>
      </c>
      <c r="B57" s="4" t="s">
        <v>155</v>
      </c>
      <c r="D57" s="8"/>
      <c r="E57" s="9"/>
      <c r="F57" s="8"/>
      <c r="G57" s="9"/>
      <c r="H57" s="8"/>
      <c r="I57" s="9"/>
      <c r="J57" s="8"/>
      <c r="K57" s="9"/>
      <c r="L57" s="24"/>
      <c r="P57" s="97" t="s">
        <v>267</v>
      </c>
      <c r="R57" s="94" t="s">
        <v>156</v>
      </c>
    </row>
    <row r="58" spans="1:23" ht="37.5">
      <c r="A58" s="26" t="s">
        <v>152</v>
      </c>
      <c r="B58" s="4" t="s">
        <v>157</v>
      </c>
      <c r="D58" s="8"/>
      <c r="E58" s="9"/>
      <c r="F58" s="8"/>
      <c r="G58" s="9"/>
      <c r="H58" s="8"/>
      <c r="I58" s="9"/>
      <c r="J58" s="8"/>
      <c r="K58" s="9"/>
      <c r="L58" s="24"/>
      <c r="P58" s="100" t="s">
        <v>264</v>
      </c>
      <c r="R58" s="93" t="s">
        <v>158</v>
      </c>
    </row>
    <row r="59" spans="1:23" ht="37.5">
      <c r="A59" s="26" t="s">
        <v>152</v>
      </c>
      <c r="B59" s="4" t="s">
        <v>159</v>
      </c>
      <c r="D59" s="8"/>
      <c r="E59" s="9"/>
      <c r="F59" s="8"/>
      <c r="G59" s="9"/>
      <c r="H59" s="8"/>
      <c r="I59" s="9"/>
      <c r="J59" s="8"/>
      <c r="K59" s="9"/>
      <c r="L59" s="24"/>
      <c r="P59" s="100" t="s">
        <v>264</v>
      </c>
      <c r="R59" s="94" t="s">
        <v>160</v>
      </c>
    </row>
    <row r="60" spans="1:23">
      <c r="A60" s="26"/>
      <c r="B60" s="6" t="s">
        <v>161</v>
      </c>
      <c r="C60" s="107"/>
      <c r="D60" s="108"/>
      <c r="E60" s="108"/>
      <c r="F60" s="108"/>
      <c r="G60" s="108"/>
      <c r="H60" s="108"/>
      <c r="I60" s="108"/>
      <c r="J60" s="108"/>
      <c r="K60" s="109"/>
      <c r="L60" s="6"/>
      <c r="M60" s="6"/>
      <c r="N60" s="6"/>
      <c r="O60" s="6"/>
      <c r="P60" s="84"/>
      <c r="R60" s="92"/>
    </row>
    <row r="61" spans="1:23" ht="301.5">
      <c r="A61" s="26" t="s">
        <v>162</v>
      </c>
      <c r="B61" s="4" t="s">
        <v>163</v>
      </c>
      <c r="D61" s="8"/>
      <c r="E61" s="9">
        <f>D61*C61</f>
        <v>0</v>
      </c>
      <c r="F61" s="8"/>
      <c r="G61" s="9">
        <f>F61*C61</f>
        <v>0</v>
      </c>
      <c r="H61" s="8"/>
      <c r="I61" s="9">
        <f>H61*C61</f>
        <v>0</v>
      </c>
      <c r="J61" s="8"/>
      <c r="K61" s="9">
        <f>J61*C61</f>
        <v>0</v>
      </c>
      <c r="L61" s="24"/>
      <c r="O61" s="3"/>
      <c r="R61" s="94" t="s">
        <v>340</v>
      </c>
      <c r="W61" s="3" t="s">
        <v>198</v>
      </c>
    </row>
    <row r="62" spans="1:23" ht="37.5">
      <c r="A62" s="26" t="s">
        <v>162</v>
      </c>
      <c r="B62" s="4" t="s">
        <v>164</v>
      </c>
      <c r="D62" s="8"/>
      <c r="E62" s="9"/>
      <c r="F62" s="8"/>
      <c r="G62" s="9"/>
      <c r="H62" s="8"/>
      <c r="I62" s="9"/>
      <c r="J62" s="8"/>
      <c r="K62" s="9"/>
      <c r="L62" s="24"/>
      <c r="R62" s="93" t="s">
        <v>165</v>
      </c>
    </row>
    <row r="63" spans="1:23">
      <c r="A63" s="28"/>
      <c r="B63" s="29"/>
      <c r="C63" s="30"/>
      <c r="D63" s="31"/>
      <c r="E63" s="17"/>
      <c r="F63" s="31"/>
      <c r="G63" s="17"/>
      <c r="H63" s="31"/>
      <c r="I63" s="17"/>
      <c r="J63" s="31"/>
      <c r="K63" s="17"/>
      <c r="L63" s="25"/>
      <c r="M63" s="101"/>
      <c r="N63" s="102"/>
      <c r="O63" s="30"/>
      <c r="P63" s="103"/>
      <c r="Q63" s="30"/>
      <c r="R63" s="104"/>
    </row>
    <row r="65" spans="18:21">
      <c r="R65" s="3"/>
    </row>
    <row r="66" spans="18:21">
      <c r="R66" s="3"/>
    </row>
    <row r="67" spans="18:21">
      <c r="R67" s="62"/>
    </row>
    <row r="75" spans="18:21">
      <c r="U75"/>
    </row>
  </sheetData>
  <autoFilter ref="B4:N63" xr:uid="{00000000-0009-0000-0000-000000000000}">
    <filterColumn colId="2" showButton="0"/>
    <filterColumn colId="4" showButton="0"/>
    <filterColumn colId="6" showButton="0"/>
    <filterColumn colId="8" showButton="0"/>
  </autoFilter>
  <mergeCells count="17">
    <mergeCell ref="A3:Q3"/>
    <mergeCell ref="C44:K44"/>
    <mergeCell ref="C22:K22"/>
    <mergeCell ref="C13:K13"/>
    <mergeCell ref="A2:Q2"/>
    <mergeCell ref="D4:E4"/>
    <mergeCell ref="H4:I4"/>
    <mergeCell ref="C32:K32"/>
    <mergeCell ref="C47:K47"/>
    <mergeCell ref="F4:G4"/>
    <mergeCell ref="C60:K60"/>
    <mergeCell ref="J4:K4"/>
    <mergeCell ref="C27:K27"/>
    <mergeCell ref="C5:K5"/>
    <mergeCell ref="C19:K19"/>
    <mergeCell ref="C55:K55"/>
    <mergeCell ref="C36:K36"/>
  </mergeCells>
  <phoneticPr fontId="15" type="noConversion"/>
  <dataValidations disablePrompts="1" count="1">
    <dataValidation type="whole" allowBlank="1" errorTitle="Invalid Score" error="Please enter an integer score between 1 and 5" sqref="D6:D12 D14:D18 D20:D21 D23:D26 D28:D31 D33:D35 D37:D43 D45:D46 D48:D54 D56:D59 F6:F12 F14 F16:F18 F20:F21 F23:F26 F28:F31 F33:F35 F37:F43 F45:F46 F48:F54 F56:F59 F61 H6:H12 H14 H16:H18 H20:H21 H23:H26 H28:H31 H33:H35 H37:H43 H45:H46 H48:H54 H56:H59 H61 J6:J12 J14 J16:J18 J20:J21 J23:J26 J28:J31 J33:J35 J37:J43 J45:J46 J48:J54 J56:J59 J61" xr:uid="{00000000-0002-0000-0000-000000000000}">
      <formula1>1</formula1>
      <formula2>5</formula2>
    </dataValidation>
  </dataValidations>
  <pageMargins left="0.75" right="0.75" top="1" bottom="1" header="0.5" footer="0.5"/>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34"/>
  <sheetViews>
    <sheetView workbookViewId="0">
      <selection activeCell="J22" sqref="J22"/>
    </sheetView>
  </sheetViews>
  <sheetFormatPr defaultColWidth="11.453125" defaultRowHeight="14.5"/>
  <cols>
    <col min="1" max="1" width="49" customWidth="1"/>
    <col min="2" max="2" width="30.90625" customWidth="1"/>
    <col min="3" max="3" width="20.08984375" customWidth="1"/>
    <col min="4" max="4" width="29.453125" style="34" customWidth="1"/>
    <col min="5" max="5" width="22.6328125" customWidth="1"/>
    <col min="6" max="6" width="19.36328125" customWidth="1"/>
  </cols>
  <sheetData>
    <row r="2" spans="1:6">
      <c r="A2" s="67" t="s">
        <v>270</v>
      </c>
    </row>
    <row r="3" spans="1:6">
      <c r="A3" s="67" t="s">
        <v>334</v>
      </c>
    </row>
    <row r="4" spans="1:6">
      <c r="A4" s="66" t="s">
        <v>269</v>
      </c>
    </row>
    <row r="6" spans="1:6">
      <c r="A6" s="37" t="s">
        <v>166</v>
      </c>
      <c r="B6" s="38" t="s">
        <v>167</v>
      </c>
      <c r="C6" s="38" t="s">
        <v>168</v>
      </c>
      <c r="D6" s="39" t="s">
        <v>169</v>
      </c>
      <c r="E6" s="40" t="s">
        <v>170</v>
      </c>
    </row>
    <row r="7" spans="1:6" ht="43.5">
      <c r="A7" s="35" t="s">
        <v>171</v>
      </c>
      <c r="B7" s="80">
        <v>1000</v>
      </c>
      <c r="C7" s="41" t="s">
        <v>172</v>
      </c>
      <c r="D7" s="42" t="s">
        <v>173</v>
      </c>
      <c r="E7" s="45" t="s">
        <v>174</v>
      </c>
    </row>
    <row r="8" spans="1:6" ht="43.5">
      <c r="A8" s="35" t="s">
        <v>175</v>
      </c>
      <c r="B8" s="80">
        <v>5</v>
      </c>
      <c r="C8" s="41" t="s">
        <v>176</v>
      </c>
      <c r="D8" s="42" t="s">
        <v>177</v>
      </c>
      <c r="E8" s="43" t="s">
        <v>178</v>
      </c>
    </row>
    <row r="9" spans="1:6">
      <c r="A9" s="35" t="s">
        <v>179</v>
      </c>
      <c r="B9" s="80">
        <v>3</v>
      </c>
      <c r="C9" s="41" t="s">
        <v>176</v>
      </c>
      <c r="D9" s="42" t="s">
        <v>180</v>
      </c>
      <c r="E9" s="43" t="s">
        <v>181</v>
      </c>
    </row>
    <row r="10" spans="1:6" ht="29">
      <c r="A10" s="35" t="s">
        <v>182</v>
      </c>
      <c r="B10" s="81">
        <v>2000</v>
      </c>
      <c r="C10" s="41" t="s">
        <v>183</v>
      </c>
      <c r="D10" s="42" t="s">
        <v>184</v>
      </c>
      <c r="E10" s="43" t="s">
        <v>181</v>
      </c>
    </row>
    <row r="11" spans="1:6" ht="30" customHeight="1">
      <c r="A11" s="35" t="s">
        <v>185</v>
      </c>
      <c r="B11" s="80">
        <v>3</v>
      </c>
      <c r="C11" s="41" t="s">
        <v>186</v>
      </c>
      <c r="D11" s="42" t="s">
        <v>187</v>
      </c>
      <c r="E11" s="43" t="s">
        <v>181</v>
      </c>
    </row>
    <row r="12" spans="1:6" ht="15.75" customHeight="1" thickBot="1">
      <c r="A12" s="36"/>
      <c r="B12" s="36"/>
      <c r="C12" s="36"/>
      <c r="D12" s="44"/>
      <c r="E12" s="36"/>
    </row>
    <row r="13" spans="1:6" ht="15" thickBot="1">
      <c r="A13" s="46"/>
      <c r="B13" s="47"/>
      <c r="C13" s="56" t="s">
        <v>188</v>
      </c>
      <c r="D13" s="57" t="s">
        <v>189</v>
      </c>
      <c r="E13" s="56" t="s">
        <v>190</v>
      </c>
      <c r="F13" s="58" t="s">
        <v>191</v>
      </c>
    </row>
    <row r="14" spans="1:6" ht="17" thickBot="1">
      <c r="A14" s="48" t="s">
        <v>192</v>
      </c>
      <c r="B14" s="69" t="s">
        <v>322</v>
      </c>
      <c r="C14" s="77" t="s">
        <v>264</v>
      </c>
      <c r="D14" s="77" t="s">
        <v>264</v>
      </c>
      <c r="E14" s="77" t="s">
        <v>264</v>
      </c>
      <c r="F14" s="77" t="s">
        <v>264</v>
      </c>
    </row>
    <row r="15" spans="1:6" ht="17" thickBot="1">
      <c r="A15" s="48" t="s">
        <v>193</v>
      </c>
      <c r="B15" s="69" t="s">
        <v>324</v>
      </c>
      <c r="C15" s="77" t="s">
        <v>264</v>
      </c>
      <c r="D15" s="77" t="s">
        <v>264</v>
      </c>
      <c r="E15" s="77" t="s">
        <v>264</v>
      </c>
      <c r="F15" s="77" t="s">
        <v>264</v>
      </c>
    </row>
    <row r="16" spans="1:6" ht="17" thickBot="1">
      <c r="A16" s="50" t="s">
        <v>194</v>
      </c>
      <c r="B16" s="69" t="s">
        <v>326</v>
      </c>
      <c r="C16" s="78">
        <v>1</v>
      </c>
      <c r="D16" s="78">
        <v>1.5</v>
      </c>
      <c r="E16" s="78">
        <v>2.5</v>
      </c>
      <c r="F16" s="78" t="s">
        <v>277</v>
      </c>
    </row>
    <row r="17" spans="1:6" ht="17" thickBot="1">
      <c r="A17" s="50" t="s">
        <v>195</v>
      </c>
      <c r="B17" s="69" t="s">
        <v>328</v>
      </c>
      <c r="C17" s="78" t="s">
        <v>278</v>
      </c>
      <c r="D17" s="78" t="s">
        <v>279</v>
      </c>
      <c r="E17" s="78" t="s">
        <v>280</v>
      </c>
      <c r="F17" s="78" t="s">
        <v>277</v>
      </c>
    </row>
    <row r="18" spans="1:6" ht="17" thickBot="1">
      <c r="A18" s="50" t="s">
        <v>196</v>
      </c>
      <c r="B18" s="69" t="s">
        <v>330</v>
      </c>
      <c r="C18" s="79">
        <v>1.4999999999999999E-2</v>
      </c>
      <c r="D18" s="79">
        <v>1.2E-2</v>
      </c>
      <c r="E18" s="79">
        <v>0.01</v>
      </c>
      <c r="F18" s="78" t="s">
        <v>277</v>
      </c>
    </row>
    <row r="19" spans="1:6">
      <c r="A19" s="51"/>
      <c r="F19" s="49"/>
    </row>
    <row r="20" spans="1:6">
      <c r="A20" s="51"/>
      <c r="F20" s="49"/>
    </row>
    <row r="21" spans="1:6" ht="15.75" customHeight="1" thickBot="1">
      <c r="A21" s="52"/>
      <c r="B21" s="53"/>
      <c r="C21" s="53"/>
      <c r="D21" s="54"/>
      <c r="E21" s="53"/>
      <c r="F21" s="55"/>
    </row>
    <row r="25" spans="1:6">
      <c r="A25" s="67"/>
    </row>
    <row r="26" spans="1:6">
      <c r="A26" s="66"/>
    </row>
    <row r="29" spans="1:6" ht="35">
      <c r="A29" s="70" t="s">
        <v>281</v>
      </c>
      <c r="D29"/>
    </row>
    <row r="30" spans="1:6">
      <c r="A30" s="65"/>
      <c r="D30"/>
    </row>
    <row r="31" spans="1:6">
      <c r="A31" s="66"/>
      <c r="D31"/>
    </row>
    <row r="32" spans="1:6">
      <c r="A32" s="65"/>
      <c r="D32"/>
    </row>
    <row r="33" spans="1:4" ht="20.5">
      <c r="A33" s="71" t="s">
        <v>282</v>
      </c>
      <c r="D33"/>
    </row>
    <row r="34" spans="1:4" ht="15" thickBot="1">
      <c r="A34" s="66"/>
      <c r="D34"/>
    </row>
    <row r="35" spans="1:4" ht="17" thickBot="1">
      <c r="A35" s="68" t="s">
        <v>166</v>
      </c>
      <c r="B35" s="68" t="s">
        <v>167</v>
      </c>
      <c r="C35" s="68" t="s">
        <v>168</v>
      </c>
      <c r="D35"/>
    </row>
    <row r="36" spans="1:4" ht="17" thickBot="1">
      <c r="A36" s="69" t="s">
        <v>171</v>
      </c>
      <c r="B36" s="77">
        <v>1000</v>
      </c>
      <c r="C36" s="69" t="s">
        <v>172</v>
      </c>
      <c r="D36"/>
    </row>
    <row r="37" spans="1:4" ht="17" thickBot="1">
      <c r="A37" s="69" t="s">
        <v>175</v>
      </c>
      <c r="B37" s="78">
        <v>5</v>
      </c>
      <c r="C37" s="69" t="s">
        <v>176</v>
      </c>
      <c r="D37"/>
    </row>
    <row r="38" spans="1:4" ht="17" thickBot="1">
      <c r="A38" s="69" t="s">
        <v>283</v>
      </c>
      <c r="B38" s="78">
        <v>3</v>
      </c>
      <c r="C38" s="69" t="s">
        <v>176</v>
      </c>
      <c r="D38"/>
    </row>
    <row r="39" spans="1:4" ht="17" thickBot="1">
      <c r="A39" s="69" t="s">
        <v>182</v>
      </c>
      <c r="B39" s="77">
        <v>2000</v>
      </c>
      <c r="C39" s="69" t="s">
        <v>183</v>
      </c>
      <c r="D39"/>
    </row>
    <row r="40" spans="1:4">
      <c r="D40"/>
    </row>
    <row r="41" spans="1:4">
      <c r="A41" s="65"/>
      <c r="D41"/>
    </row>
    <row r="42" spans="1:4" ht="35">
      <c r="A42" s="70" t="s">
        <v>284</v>
      </c>
      <c r="D42"/>
    </row>
    <row r="43" spans="1:4">
      <c r="A43" s="65"/>
      <c r="D43"/>
    </row>
    <row r="44" spans="1:4" ht="26">
      <c r="A44" s="72" t="s">
        <v>285</v>
      </c>
      <c r="D44"/>
    </row>
    <row r="45" spans="1:4">
      <c r="A45" s="65"/>
      <c r="D45"/>
    </row>
    <row r="46" spans="1:4">
      <c r="A46" s="66" t="s">
        <v>286</v>
      </c>
      <c r="D46"/>
    </row>
    <row r="47" spans="1:4">
      <c r="A47" s="73"/>
      <c r="D47"/>
    </row>
    <row r="48" spans="1:4">
      <c r="A48" s="82" t="s">
        <v>287</v>
      </c>
      <c r="D48"/>
    </row>
    <row r="49" spans="1:4">
      <c r="A49" t="s">
        <v>333</v>
      </c>
      <c r="D49"/>
    </row>
    <row r="50" spans="1:4">
      <c r="A50" s="65"/>
      <c r="D50"/>
    </row>
    <row r="51" spans="1:4">
      <c r="A51" s="75" t="s">
        <v>288</v>
      </c>
      <c r="D51"/>
    </row>
    <row r="52" spans="1:4">
      <c r="A52" s="75" t="s">
        <v>289</v>
      </c>
      <c r="D52"/>
    </row>
    <row r="53" spans="1:4">
      <c r="A53" s="65"/>
      <c r="D53"/>
    </row>
    <row r="54" spans="1:4">
      <c r="D54"/>
    </row>
    <row r="55" spans="1:4">
      <c r="A55" s="65"/>
      <c r="D55"/>
    </row>
    <row r="56" spans="1:4" ht="26">
      <c r="A56" s="72" t="s">
        <v>290</v>
      </c>
      <c r="D56"/>
    </row>
    <row r="57" spans="1:4">
      <c r="A57" s="65"/>
      <c r="D57"/>
    </row>
    <row r="58" spans="1:4">
      <c r="A58" s="75" t="s">
        <v>291</v>
      </c>
      <c r="D58"/>
    </row>
    <row r="59" spans="1:4">
      <c r="A59" s="75" t="s">
        <v>292</v>
      </c>
      <c r="D59"/>
    </row>
    <row r="60" spans="1:4">
      <c r="A60" s="65"/>
      <c r="D60"/>
    </row>
    <row r="61" spans="1:4">
      <c r="D61"/>
    </row>
    <row r="62" spans="1:4">
      <c r="A62" s="65"/>
      <c r="D62"/>
    </row>
    <row r="63" spans="1:4" ht="26">
      <c r="A63" s="72" t="s">
        <v>293</v>
      </c>
      <c r="D63"/>
    </row>
    <row r="64" spans="1:4">
      <c r="A64" s="65"/>
      <c r="D64"/>
    </row>
    <row r="65" spans="1:4">
      <c r="A65" s="75" t="s">
        <v>294</v>
      </c>
      <c r="D65"/>
    </row>
    <row r="66" spans="1:4">
      <c r="A66" s="75" t="s">
        <v>295</v>
      </c>
      <c r="D66"/>
    </row>
    <row r="67" spans="1:4">
      <c r="A67" s="65"/>
      <c r="D67"/>
    </row>
    <row r="68" spans="1:4">
      <c r="A68" s="66" t="s">
        <v>296</v>
      </c>
      <c r="D68"/>
    </row>
    <row r="69" spans="1:4">
      <c r="A69" s="65"/>
      <c r="D69"/>
    </row>
    <row r="70" spans="1:4">
      <c r="D70"/>
    </row>
    <row r="71" spans="1:4">
      <c r="A71" s="65"/>
      <c r="D71"/>
    </row>
    <row r="72" spans="1:4" ht="26">
      <c r="A72" s="72" t="s">
        <v>297</v>
      </c>
      <c r="D72"/>
    </row>
    <row r="73" spans="1:4">
      <c r="A73" s="73"/>
      <c r="D73"/>
    </row>
    <row r="74" spans="1:4">
      <c r="A74" s="74" t="s">
        <v>298</v>
      </c>
      <c r="D74"/>
    </row>
    <row r="75" spans="1:4">
      <c r="A75" s="74" t="s">
        <v>299</v>
      </c>
      <c r="D75"/>
    </row>
    <row r="76" spans="1:4">
      <c r="A76" s="65"/>
      <c r="D76"/>
    </row>
    <row r="77" spans="1:4">
      <c r="A77" s="75" t="s">
        <v>300</v>
      </c>
      <c r="D77"/>
    </row>
    <row r="78" spans="1:4">
      <c r="A78" s="65"/>
      <c r="D78"/>
    </row>
    <row r="79" spans="1:4">
      <c r="D79"/>
    </row>
    <row r="80" spans="1:4">
      <c r="A80" s="65"/>
      <c r="D80"/>
    </row>
    <row r="81" spans="1:4" ht="26">
      <c r="A81" s="72" t="s">
        <v>301</v>
      </c>
      <c r="D81"/>
    </row>
    <row r="82" spans="1:4">
      <c r="A82" s="65"/>
      <c r="D82"/>
    </row>
    <row r="83" spans="1:4">
      <c r="A83" s="66" t="s">
        <v>302</v>
      </c>
      <c r="D83"/>
    </row>
    <row r="84" spans="1:4">
      <c r="A84" s="65"/>
      <c r="D84"/>
    </row>
    <row r="85" spans="1:4">
      <c r="A85" s="75" t="s">
        <v>303</v>
      </c>
      <c r="D85"/>
    </row>
    <row r="86" spans="1:4">
      <c r="A86" s="65"/>
      <c r="D86"/>
    </row>
    <row r="87" spans="1:4">
      <c r="D87"/>
    </row>
    <row r="88" spans="1:4">
      <c r="A88" s="65"/>
      <c r="D88"/>
    </row>
    <row r="89" spans="1:4" ht="26">
      <c r="A89" s="72" t="s">
        <v>304</v>
      </c>
      <c r="D89"/>
    </row>
    <row r="90" spans="1:4">
      <c r="A90" s="65"/>
      <c r="D90"/>
    </row>
    <row r="91" spans="1:4">
      <c r="A91" s="75" t="s">
        <v>305</v>
      </c>
      <c r="D91"/>
    </row>
    <row r="92" spans="1:4">
      <c r="A92" s="65"/>
      <c r="D92"/>
    </row>
    <row r="93" spans="1:4">
      <c r="D93"/>
    </row>
    <row r="94" spans="1:4">
      <c r="A94" s="65"/>
      <c r="D94"/>
    </row>
    <row r="95" spans="1:4" ht="26">
      <c r="A95" s="72" t="s">
        <v>306</v>
      </c>
      <c r="D95"/>
    </row>
    <row r="96" spans="1:4">
      <c r="A96" s="65"/>
      <c r="D96"/>
    </row>
    <row r="97" spans="1:4">
      <c r="A97" s="75" t="s">
        <v>307</v>
      </c>
      <c r="D97"/>
    </row>
    <row r="98" spans="1:4">
      <c r="A98" s="65"/>
      <c r="D98"/>
    </row>
    <row r="99" spans="1:4">
      <c r="D99"/>
    </row>
    <row r="100" spans="1:4">
      <c r="A100" s="65"/>
      <c r="D100"/>
    </row>
    <row r="101" spans="1:4" ht="35">
      <c r="A101" s="70" t="s">
        <v>308</v>
      </c>
      <c r="D101"/>
    </row>
    <row r="102" spans="1:4" ht="15" thickBot="1">
      <c r="A102" s="66"/>
      <c r="D102"/>
    </row>
    <row r="103" spans="1:4" ht="17" thickBot="1">
      <c r="A103" s="68" t="s">
        <v>309</v>
      </c>
      <c r="B103" s="68" t="s">
        <v>167</v>
      </c>
      <c r="D103"/>
    </row>
    <row r="104" spans="1:4" ht="17" thickBot="1">
      <c r="A104" s="69" t="s">
        <v>310</v>
      </c>
      <c r="B104" s="76" t="s">
        <v>311</v>
      </c>
      <c r="D104"/>
    </row>
    <row r="105" spans="1:4" ht="17" thickBot="1">
      <c r="A105" s="69" t="s">
        <v>312</v>
      </c>
      <c r="B105" s="76" t="s">
        <v>313</v>
      </c>
      <c r="D105"/>
    </row>
    <row r="106" spans="1:4" ht="17" thickBot="1">
      <c r="A106" s="69" t="s">
        <v>314</v>
      </c>
      <c r="B106" s="76" t="s">
        <v>315</v>
      </c>
      <c r="D106"/>
    </row>
    <row r="107" spans="1:4">
      <c r="D107"/>
    </row>
    <row r="108" spans="1:4">
      <c r="A108" s="65"/>
      <c r="D108"/>
    </row>
    <row r="109" spans="1:4" ht="35">
      <c r="A109" s="70" t="s">
        <v>316</v>
      </c>
      <c r="D109"/>
    </row>
    <row r="110" spans="1:4">
      <c r="A110" s="65"/>
      <c r="D110"/>
    </row>
    <row r="111" spans="1:4">
      <c r="A111" s="66" t="s">
        <v>317</v>
      </c>
      <c r="D111"/>
    </row>
    <row r="112" spans="1:4">
      <c r="A112" s="65"/>
      <c r="D112"/>
    </row>
    <row r="113" spans="1:4">
      <c r="D113"/>
    </row>
    <row r="114" spans="1:4">
      <c r="A114" s="65"/>
      <c r="D114"/>
    </row>
    <row r="115" spans="1:4" ht="26">
      <c r="A115" s="72" t="s">
        <v>318</v>
      </c>
      <c r="D115"/>
    </row>
    <row r="116" spans="1:4" ht="15" thickBot="1">
      <c r="A116" s="66"/>
      <c r="D116"/>
    </row>
    <row r="117" spans="1:4" ht="17" thickBot="1">
      <c r="A117" s="68" t="s">
        <v>319</v>
      </c>
      <c r="B117" s="68" t="s">
        <v>320</v>
      </c>
      <c r="D117"/>
    </row>
    <row r="118" spans="1:4" ht="17" thickBot="1">
      <c r="A118" s="69" t="s">
        <v>321</v>
      </c>
      <c r="B118" s="69" t="s">
        <v>322</v>
      </c>
      <c r="D118"/>
    </row>
    <row r="119" spans="1:4" ht="17" thickBot="1">
      <c r="A119" s="69" t="s">
        <v>323</v>
      </c>
      <c r="B119" s="69" t="s">
        <v>324</v>
      </c>
      <c r="D119"/>
    </row>
    <row r="120" spans="1:4" ht="17" thickBot="1">
      <c r="A120" s="69" t="s">
        <v>325</v>
      </c>
      <c r="B120" s="69" t="s">
        <v>326</v>
      </c>
      <c r="D120"/>
    </row>
    <row r="121" spans="1:4" ht="17" thickBot="1">
      <c r="A121" s="69" t="s">
        <v>327</v>
      </c>
      <c r="B121" s="69" t="s">
        <v>328</v>
      </c>
      <c r="D121"/>
    </row>
    <row r="122" spans="1:4" ht="17" thickBot="1">
      <c r="A122" s="69" t="s">
        <v>329</v>
      </c>
      <c r="B122" s="69" t="s">
        <v>330</v>
      </c>
      <c r="D122"/>
    </row>
    <row r="123" spans="1:4">
      <c r="D123"/>
    </row>
    <row r="124" spans="1:4">
      <c r="A124" s="65"/>
      <c r="D124"/>
    </row>
    <row r="125" spans="1:4" ht="26">
      <c r="A125" s="72" t="s">
        <v>331</v>
      </c>
      <c r="D125"/>
    </row>
    <row r="126" spans="1:4">
      <c r="A126" s="65"/>
      <c r="D126"/>
    </row>
    <row r="127" spans="1:4" ht="20.5">
      <c r="A127" s="71" t="s">
        <v>332</v>
      </c>
      <c r="D127"/>
    </row>
    <row r="128" spans="1:4" ht="15" thickBot="1">
      <c r="A128" s="66"/>
      <c r="D128"/>
    </row>
    <row r="129" spans="1:5" ht="17" thickBot="1">
      <c r="A129" s="83" t="s">
        <v>166</v>
      </c>
      <c r="B129" s="68" t="s">
        <v>271</v>
      </c>
      <c r="C129" s="68" t="s">
        <v>272</v>
      </c>
      <c r="D129" s="68" t="s">
        <v>273</v>
      </c>
      <c r="E129" s="68" t="s">
        <v>191</v>
      </c>
    </row>
    <row r="130" spans="1:5" ht="17" thickBot="1">
      <c r="A130" s="83" t="s">
        <v>274</v>
      </c>
      <c r="B130" s="77" t="s">
        <v>264</v>
      </c>
      <c r="C130" s="77" t="s">
        <v>264</v>
      </c>
      <c r="D130" s="77" t="s">
        <v>264</v>
      </c>
      <c r="E130" s="77" t="s">
        <v>264</v>
      </c>
    </row>
    <row r="131" spans="1:5" ht="17" thickBot="1">
      <c r="A131" s="83" t="s">
        <v>275</v>
      </c>
      <c r="B131" s="77" t="s">
        <v>264</v>
      </c>
      <c r="C131" s="77" t="s">
        <v>264</v>
      </c>
      <c r="D131" s="77" t="s">
        <v>264</v>
      </c>
      <c r="E131" s="77" t="s">
        <v>264</v>
      </c>
    </row>
    <row r="132" spans="1:5" ht="17" thickBot="1">
      <c r="A132" s="83" t="s">
        <v>276</v>
      </c>
      <c r="B132" s="78">
        <v>1</v>
      </c>
      <c r="C132" s="78">
        <v>1.5</v>
      </c>
      <c r="D132" s="78">
        <v>2.5</v>
      </c>
      <c r="E132" s="78" t="s">
        <v>277</v>
      </c>
    </row>
    <row r="133" spans="1:5" ht="17" thickBot="1">
      <c r="A133" s="83" t="s">
        <v>195</v>
      </c>
      <c r="B133" s="78" t="s">
        <v>278</v>
      </c>
      <c r="C133" s="78" t="s">
        <v>279</v>
      </c>
      <c r="D133" s="78" t="s">
        <v>280</v>
      </c>
      <c r="E133" s="78" t="s">
        <v>277</v>
      </c>
    </row>
    <row r="134" spans="1:5" ht="17" thickBot="1">
      <c r="A134" s="83" t="s">
        <v>196</v>
      </c>
      <c r="B134" s="79">
        <v>1.4999999999999999E-2</v>
      </c>
      <c r="C134" s="79">
        <v>1.2E-2</v>
      </c>
      <c r="D134" s="79">
        <v>0.01</v>
      </c>
      <c r="E134" s="78" t="s">
        <v>277</v>
      </c>
    </row>
  </sheetData>
  <hyperlinks>
    <hyperlink ref="A2" r:id="rId1" display="https://novaaidesigner.github.io/azure-voice-live-calculator/?dau=1000&amp;turns=5&amp;inputAudio=10&amp;outputAudio=15&amp;inputText=2000&amp;model=gpt-4o-mini-realtime-preview&amp;avatar=standard&amp;textCache=50&amp;audioCache=5&amp;tts=neural" xr:uid="{9231CAA6-F111-4EF1-A574-96AB8BBDE81C}"/>
    <hyperlink ref="A3" r:id="rId2" display="https://modelavailability.com/tools/gpt-realtime-calculator" xr:uid="{3C2AAA90-2673-438D-AFC2-67B7FC996AC3}"/>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EC4C7-E263-454D-A5B8-723C6A4A9FF6}">
  <dimension ref="C3:K88"/>
  <sheetViews>
    <sheetView workbookViewId="0">
      <selection activeCell="F46" sqref="F46"/>
    </sheetView>
  </sheetViews>
  <sheetFormatPr defaultRowHeight="14.5"/>
  <cols>
    <col min="3" max="3" width="116.6328125" customWidth="1"/>
  </cols>
  <sheetData>
    <row r="3" spans="3:3">
      <c r="C3" s="63" t="s">
        <v>202</v>
      </c>
    </row>
    <row r="4" spans="3:3">
      <c r="C4" s="63" t="s">
        <v>203</v>
      </c>
    </row>
    <row r="5" spans="3:3">
      <c r="C5" s="63" t="s">
        <v>204</v>
      </c>
    </row>
    <row r="6" spans="3:3">
      <c r="C6" s="63" t="s">
        <v>205</v>
      </c>
    </row>
    <row r="7" spans="3:3">
      <c r="C7" s="63" t="s">
        <v>206</v>
      </c>
    </row>
    <row r="8" spans="3:3">
      <c r="C8" s="63" t="s">
        <v>207</v>
      </c>
    </row>
    <row r="9" spans="3:3">
      <c r="C9" s="63" t="s">
        <v>208</v>
      </c>
    </row>
    <row r="10" spans="3:3">
      <c r="C10" s="63" t="s">
        <v>209</v>
      </c>
    </row>
    <row r="11" spans="3:3">
      <c r="C11" s="63" t="s">
        <v>210</v>
      </c>
    </row>
    <row r="12" spans="3:3">
      <c r="C12" s="63" t="s">
        <v>211</v>
      </c>
    </row>
    <row r="13" spans="3:3">
      <c r="C13" s="63" t="s">
        <v>212</v>
      </c>
    </row>
    <row r="14" spans="3:3">
      <c r="C14" s="63" t="s">
        <v>213</v>
      </c>
    </row>
    <row r="15" spans="3:3">
      <c r="C15" s="63" t="s">
        <v>214</v>
      </c>
    </row>
    <row r="16" spans="3:3">
      <c r="C16" s="63" t="s">
        <v>202</v>
      </c>
    </row>
    <row r="17" spans="3:3">
      <c r="C17" s="63" t="s">
        <v>215</v>
      </c>
    </row>
    <row r="18" spans="3:3">
      <c r="C18" s="63" t="s">
        <v>210</v>
      </c>
    </row>
    <row r="19" spans="3:3">
      <c r="C19" s="63" t="s">
        <v>216</v>
      </c>
    </row>
    <row r="20" spans="3:3">
      <c r="C20" s="63" t="s">
        <v>210</v>
      </c>
    </row>
    <row r="21" spans="3:3">
      <c r="C21" s="63" t="s">
        <v>217</v>
      </c>
    </row>
    <row r="22" spans="3:3">
      <c r="C22" s="63" t="s">
        <v>218</v>
      </c>
    </row>
    <row r="23" spans="3:3">
      <c r="C23" s="63" t="s">
        <v>219</v>
      </c>
    </row>
    <row r="24" spans="3:3">
      <c r="C24" s="63" t="s">
        <v>220</v>
      </c>
    </row>
    <row r="25" spans="3:3">
      <c r="C25" s="63" t="s">
        <v>210</v>
      </c>
    </row>
    <row r="26" spans="3:3">
      <c r="C26" s="63" t="s">
        <v>211</v>
      </c>
    </row>
    <row r="27" spans="3:3">
      <c r="C27" s="63" t="s">
        <v>212</v>
      </c>
    </row>
    <row r="28" spans="3:3">
      <c r="C28" s="63" t="s">
        <v>221</v>
      </c>
    </row>
    <row r="29" spans="3:3">
      <c r="C29" s="63" t="s">
        <v>222</v>
      </c>
    </row>
    <row r="30" spans="3:3">
      <c r="C30" s="63" t="s">
        <v>214</v>
      </c>
    </row>
    <row r="31" spans="3:3">
      <c r="C31" s="63" t="s">
        <v>202</v>
      </c>
    </row>
    <row r="32" spans="3:3">
      <c r="C32" s="63" t="s">
        <v>223</v>
      </c>
    </row>
    <row r="33" spans="3:3">
      <c r="C33" s="63" t="s">
        <v>210</v>
      </c>
    </row>
    <row r="34" spans="3:3">
      <c r="C34" s="63" t="s">
        <v>224</v>
      </c>
    </row>
    <row r="35" spans="3:3">
      <c r="C35" s="63" t="s">
        <v>225</v>
      </c>
    </row>
    <row r="36" spans="3:3">
      <c r="C36" s="63" t="s">
        <v>210</v>
      </c>
    </row>
    <row r="37" spans="3:3">
      <c r="C37" s="63" t="s">
        <v>226</v>
      </c>
    </row>
    <row r="38" spans="3:3">
      <c r="C38" s="63" t="s">
        <v>210</v>
      </c>
    </row>
    <row r="39" spans="3:3">
      <c r="C39" s="63" t="s">
        <v>227</v>
      </c>
    </row>
    <row r="40" spans="3:3">
      <c r="C40" s="63" t="s">
        <v>228</v>
      </c>
    </row>
    <row r="41" spans="3:3">
      <c r="C41" s="63" t="s">
        <v>229</v>
      </c>
    </row>
    <row r="42" spans="3:3">
      <c r="C42" s="63" t="s">
        <v>230</v>
      </c>
    </row>
    <row r="43" spans="3:3">
      <c r="C43" s="63" t="s">
        <v>231</v>
      </c>
    </row>
    <row r="44" spans="3:3">
      <c r="C44" s="63" t="s">
        <v>210</v>
      </c>
    </row>
    <row r="45" spans="3:3">
      <c r="C45" s="63" t="s">
        <v>232</v>
      </c>
    </row>
    <row r="46" spans="3:3">
      <c r="C46" s="63" t="s">
        <v>233</v>
      </c>
    </row>
    <row r="47" spans="3:3">
      <c r="C47" s="63" t="s">
        <v>234</v>
      </c>
    </row>
    <row r="48" spans="3:3">
      <c r="C48" s="63" t="s">
        <v>210</v>
      </c>
    </row>
    <row r="49" spans="3:11">
      <c r="C49" s="63" t="s">
        <v>211</v>
      </c>
    </row>
    <row r="50" spans="3:11">
      <c r="C50" s="63" t="s">
        <v>212</v>
      </c>
    </row>
    <row r="51" spans="3:11">
      <c r="C51" s="63" t="s">
        <v>235</v>
      </c>
    </row>
    <row r="52" spans="3:11">
      <c r="C52" s="63" t="s">
        <v>214</v>
      </c>
    </row>
    <row r="53" spans="3:11">
      <c r="C53" s="63" t="s">
        <v>202</v>
      </c>
    </row>
    <row r="54" spans="3:11">
      <c r="C54" s="63" t="s">
        <v>236</v>
      </c>
    </row>
    <row r="55" spans="3:11">
      <c r="C55" s="63" t="s">
        <v>210</v>
      </c>
    </row>
    <row r="56" spans="3:11">
      <c r="C56" s="63" t="s">
        <v>257</v>
      </c>
      <c r="K56" t="s">
        <v>256</v>
      </c>
    </row>
    <row r="57" spans="3:11">
      <c r="C57" s="63" t="s">
        <v>237</v>
      </c>
    </row>
    <row r="58" spans="3:11">
      <c r="C58" s="63" t="s">
        <v>238</v>
      </c>
    </row>
    <row r="59" spans="3:11">
      <c r="C59" s="63" t="s">
        <v>239</v>
      </c>
    </row>
    <row r="60" spans="3:11">
      <c r="C60" s="63" t="s">
        <v>210</v>
      </c>
    </row>
    <row r="61" spans="3:11">
      <c r="C61" s="63" t="s">
        <v>240</v>
      </c>
    </row>
    <row r="62" spans="3:11">
      <c r="C62" s="63" t="s">
        <v>241</v>
      </c>
    </row>
    <row r="63" spans="3:11">
      <c r="C63" s="63" t="s">
        <v>241</v>
      </c>
    </row>
    <row r="64" spans="3:11">
      <c r="C64" s="63" t="s">
        <v>242</v>
      </c>
    </row>
    <row r="65" spans="3:3">
      <c r="C65" s="63" t="s">
        <v>243</v>
      </c>
    </row>
    <row r="66" spans="3:3">
      <c r="C66" s="63" t="s">
        <v>244</v>
      </c>
    </row>
    <row r="67" spans="3:3">
      <c r="C67" s="63" t="s">
        <v>258</v>
      </c>
    </row>
    <row r="68" spans="3:3">
      <c r="C68" s="63" t="s">
        <v>259</v>
      </c>
    </row>
    <row r="69" spans="3:3">
      <c r="C69" s="63" t="s">
        <v>245</v>
      </c>
    </row>
    <row r="70" spans="3:3">
      <c r="C70" s="63" t="s">
        <v>246</v>
      </c>
    </row>
    <row r="71" spans="3:3">
      <c r="C71" s="63" t="s">
        <v>247</v>
      </c>
    </row>
    <row r="72" spans="3:3">
      <c r="C72" s="63" t="s">
        <v>248</v>
      </c>
    </row>
    <row r="73" spans="3:3">
      <c r="C73" s="63" t="s">
        <v>249</v>
      </c>
    </row>
    <row r="74" spans="3:3">
      <c r="C74" s="63" t="s">
        <v>250</v>
      </c>
    </row>
    <row r="75" spans="3:3">
      <c r="C75" s="63" t="s">
        <v>202</v>
      </c>
    </row>
    <row r="76" spans="3:3">
      <c r="C76" s="63" t="s">
        <v>251</v>
      </c>
    </row>
    <row r="77" spans="3:3">
      <c r="C77" s="63" t="s">
        <v>210</v>
      </c>
    </row>
    <row r="78" spans="3:3">
      <c r="C78" s="63" t="s">
        <v>252</v>
      </c>
    </row>
    <row r="79" spans="3:3">
      <c r="C79" s="63" t="s">
        <v>253</v>
      </c>
    </row>
    <row r="80" spans="3:3">
      <c r="C80" s="63" t="s">
        <v>254</v>
      </c>
    </row>
    <row r="81" spans="3:3">
      <c r="C81" s="63" t="s">
        <v>210</v>
      </c>
    </row>
    <row r="82" spans="3:3">
      <c r="C82" s="63" t="s">
        <v>211</v>
      </c>
    </row>
    <row r="83" spans="3:3">
      <c r="C83" s="63" t="s">
        <v>212</v>
      </c>
    </row>
    <row r="84" spans="3:3">
      <c r="C84" s="63" t="s">
        <v>214</v>
      </c>
    </row>
    <row r="85" spans="3:3">
      <c r="C85" s="63" t="s">
        <v>202</v>
      </c>
    </row>
    <row r="86" spans="3:3">
      <c r="C86" s="63" t="s">
        <v>260</v>
      </c>
    </row>
    <row r="87" spans="3:3">
      <c r="C87" s="63" t="s">
        <v>255</v>
      </c>
    </row>
    <row r="88" spans="3:3" ht="16">
      <c r="C88" s="64"/>
    </row>
  </sheetData>
  <pageMargins left="0.7" right="0.7" top="0.75" bottom="0.75" header="0.3" footer="0.3"/>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Avatar_Evaluation Criteria</vt:lpstr>
      <vt:lpstr>Cost-Calculator</vt:lpstr>
      <vt:lpstr>Diagram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Aparna Nittala</dc:creator>
  <cp:keywords/>
  <dc:description/>
  <cp:lastModifiedBy>Nathan Biyani</cp:lastModifiedBy>
  <cp:revision/>
  <dcterms:created xsi:type="dcterms:W3CDTF">2025-12-15T19:55:10Z</dcterms:created>
  <dcterms:modified xsi:type="dcterms:W3CDTF">2026-10-08T02:35:09Z</dcterms:modified>
  <cp:category>WHXR</cp:category>
  <cp:contentStatus/>
</cp:coreProperties>
</file>